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B1_Propiedades" sheetId="2" state="visible" r:id="rId4"/>
    <sheet name="C1_Gases" sheetId="3" state="visible" r:id="rId5"/>
    <sheet name="C2_Solidos" sheetId="4" state="visible" r:id="rId6"/>
    <sheet name="C3_Liquidos" sheetId="5" state="visible" r:id="rId7"/>
    <sheet name="C4_Formacion" sheetId="6" state="visible" r:id="rId8"/>
    <sheet name="BD_Gases" sheetId="7" state="visible" r:id="rId9"/>
    <sheet name="Busca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<sst xmlns="http://schemas.openxmlformats.org/spreadsheetml/2006/main" count="1027" uniqueCount="375">
  <si>
    <t xml:space="preserve">Base de datos — Smith, Van Ness &amp; Abbott, Introducción a la Termodinámica en Ingeniería Química, 7a ed.</t>
  </si>
  <si>
    <t xml:space="preserve">Contenido</t>
  </si>
  <si>
    <t xml:space="preserve">  B1_Propiedades  — Tabla B.1: masa molar, ω, Tc, Pc, Zc, Vc, Tn (89 especies)</t>
  </si>
  <si>
    <t xml:space="preserve">  C1_Gases        — Tabla C.1: Cp^ig/R = A + B·T + C·T² + D·T⁻²,  T en K, 298 → Tmáx (48 especies)</t>
  </si>
  <si>
    <t xml:space="preserve">  C2_Solidos      — Tabla C.2: Cp/R = A + B·T + D·T⁻²  (21 especies)</t>
  </si>
  <si>
    <t xml:space="preserve">  C3_Liquidos     — Tabla C.3: Cp/R = A + B·T + C·T²,  273.15–373.15 K (15 especies)</t>
  </si>
  <si>
    <t xml:space="preserve">  C4_Formacion    — Tabla C.4: ΔH°f298 y ΔG°f298 en J/mol, estado estándar (g)/(l)/(s)/(ac) a 298.15 K y 1 bar (77 filas)</t>
  </si>
  <si>
    <t xml:space="preserve">  BD_Gases        — Maestro para equilibrio químico: por especie gaseosa, Hf, Gf y A, B, C, D REALES (ya multiplicados) vía INDEX/MATCH a C1 y C4</t>
  </si>
  <si>
    <t xml:space="preserve">  Buscar          — Escribe una fórmula (celda amarilla) y obtienes todas sus propiedades</t>
  </si>
  <si>
    <t xml:space="preserve">Convenciones</t>
  </si>
  <si>
    <t xml:space="preserve">  Amarillo = encabezados / celdas de entrada.   Azul oscuro = constante transcrita del libro.   Negro = fórmula.</t>
  </si>
  <si>
    <t xml:space="preserve">  En C1–C3 las columnas 10³B, 10⁶C, 10⁻⁵D son EXACTAMENTE como el libro; las columnas B, C, D (reales) ya llevan el factor: B = 10³B × 1e-3, C = 10⁶C × 1e-6, D = 10⁻⁵D × 1e5.</t>
  </si>
  <si>
    <t xml:space="preserve">  Celda vacía = el libro no reporta el valor ('· · ·').</t>
  </si>
  <si>
    <t xml:space="preserve">  Clave en C4: fórmula + estado, p. ej. H2O(g), H2O(l), NH3(ac). Isómeros/ciclos: 'C4H10 (iso)', 'C6H12 (ciclo)', 'C2H4O (oxido)'.</t>
  </si>
  <si>
    <t xml:space="preserve">  R = 8.314 J/(mol·K).  T0 = 298.15 K.</t>
  </si>
  <si>
    <t xml:space="preserve">Fuente y verificación</t>
  </si>
  <si>
    <t xml:space="preserve">  Transcrito de: Smith Van Ness .pdf (edición en español, pp. 680–687 del libro) y Apéndice C - T1/T2/T4.pdf, Capacidades_calorificas_Smith.pdf, Propiedades físicas (Smith-Van-Ness).pdf (edición en inglés).</t>
  </si>
  <si>
    <t xml:space="preserve">  Doble pase: (1) lectura visual de las páginas renderizadas; (2) cotejo automático de cada número contra la capa de texto del PDF del libro → 161 filas de C.1–C.4 sin discrepancias; B.1 parseada directamente de la capa de texto (89 filas).</t>
  </si>
  <si>
    <t xml:space="preserve">  Generado: 2026-09-22.</t>
  </si>
  <si>
    <t xml:space="preserve">Tabla B.1: Propiedades características de especies puras</t>
  </si>
  <si>
    <t xml:space="preserve">Masa molar en g/mol; Tc, Tn en K; Pc en bar; Vc en cm³/mol. Fuente: DIPPR Project 801 (según SVA).</t>
  </si>
  <si>
    <t xml:space="preserve">Especie (EN)</t>
  </si>
  <si>
    <t xml:space="preserve">Masa molar</t>
  </si>
  <si>
    <t xml:space="preserve">ω</t>
  </si>
  <si>
    <t xml:space="preserve">Tc /K</t>
  </si>
  <si>
    <t xml:space="preserve">Pc /bar</t>
  </si>
  <si>
    <t xml:space="preserve">Zc</t>
  </si>
  <si>
    <t xml:space="preserve">Vc /cm³·mol⁻¹</t>
  </si>
  <si>
    <t xml:space="preserve">Tn /K</t>
  </si>
  <si>
    <t xml:space="preserve">Methane</t>
  </si>
  <si>
    <t xml:space="preserve">Ethane</t>
  </si>
  <si>
    <t xml:space="preserve">Propane</t>
  </si>
  <si>
    <t xml:space="preserve">n-Butane</t>
  </si>
  <si>
    <t xml:space="preserve">n-Pentane</t>
  </si>
  <si>
    <t xml:space="preserve">n-Hexane</t>
  </si>
  <si>
    <t xml:space="preserve">n-Heptane</t>
  </si>
  <si>
    <t xml:space="preserve">n-Octane</t>
  </si>
  <si>
    <t xml:space="preserve">n-Nonane</t>
  </si>
  <si>
    <t xml:space="preserve">n-Decane</t>
  </si>
  <si>
    <t xml:space="preserve">Isobutane</t>
  </si>
  <si>
    <t xml:space="preserve">Isooctane</t>
  </si>
  <si>
    <t xml:space="preserve">Cyclopentane</t>
  </si>
  <si>
    <t xml:space="preserve">Cyclohexane</t>
  </si>
  <si>
    <t xml:space="preserve">Methylcyclopentane</t>
  </si>
  <si>
    <t xml:space="preserve">Methylcyclohexane</t>
  </si>
  <si>
    <t xml:space="preserve">Ethylene</t>
  </si>
  <si>
    <t xml:space="preserve">Propylene</t>
  </si>
  <si>
    <t xml:space="preserve">1-Butene</t>
  </si>
  <si>
    <t xml:space="preserve">cis-2-Butene</t>
  </si>
  <si>
    <t xml:space="preserve">trans-2-Butene</t>
  </si>
  <si>
    <t xml:space="preserve">1-Hexene</t>
  </si>
  <si>
    <t xml:space="preserve">Isobutylene</t>
  </si>
  <si>
    <t xml:space="preserve">1,3-Butadiene</t>
  </si>
  <si>
    <t xml:space="preserve">Cyclohexene</t>
  </si>
  <si>
    <t xml:space="preserve">Acetylene</t>
  </si>
  <si>
    <t xml:space="preserve">Benzene</t>
  </si>
  <si>
    <t xml:space="preserve">Toluene</t>
  </si>
  <si>
    <t xml:space="preserve">Ethylbenzene</t>
  </si>
  <si>
    <t xml:space="preserve">Cumene</t>
  </si>
  <si>
    <t xml:space="preserve">o-Xylene</t>
  </si>
  <si>
    <t xml:space="preserve">m-Xylene</t>
  </si>
  <si>
    <t xml:space="preserve">p-Xylene</t>
  </si>
  <si>
    <t xml:space="preserve">Styrene</t>
  </si>
  <si>
    <t xml:space="preserve">Naphthalene</t>
  </si>
  <si>
    <t xml:space="preserve">Biphenyl</t>
  </si>
  <si>
    <t xml:space="preserve">Formaldehyde</t>
  </si>
  <si>
    <t xml:space="preserve">Acetaldehyde</t>
  </si>
  <si>
    <t xml:space="preserve">Methyl acetate</t>
  </si>
  <si>
    <t xml:space="preserve">Ethyl acetate</t>
  </si>
  <si>
    <t xml:space="preserve">Acetone</t>
  </si>
  <si>
    <t xml:space="preserve">Methyl ethyl ketone</t>
  </si>
  <si>
    <t xml:space="preserve">Diethyl ether</t>
  </si>
  <si>
    <t xml:space="preserve">Methyl t-butyl ether</t>
  </si>
  <si>
    <t xml:space="preserve">Methanol</t>
  </si>
  <si>
    <t xml:space="preserve">Ethanol</t>
  </si>
  <si>
    <t xml:space="preserve">1-Propanol</t>
  </si>
  <si>
    <t xml:space="preserve">1-Butanol</t>
  </si>
  <si>
    <t xml:space="preserve">1-Hexanol</t>
  </si>
  <si>
    <t xml:space="preserve">2-Propanol</t>
  </si>
  <si>
    <t xml:space="preserve">Phenol</t>
  </si>
  <si>
    <t xml:space="preserve">Ethylene glycol</t>
  </si>
  <si>
    <t xml:space="preserve">Acetic acid</t>
  </si>
  <si>
    <t xml:space="preserve">n-Butyric acid</t>
  </si>
  <si>
    <t xml:space="preserve">Benzoic acid</t>
  </si>
  <si>
    <t xml:space="preserve">Acetonitrile</t>
  </si>
  <si>
    <t xml:space="preserve">Methylamine</t>
  </si>
  <si>
    <t xml:space="preserve">Ethylamine</t>
  </si>
  <si>
    <t xml:space="preserve">Nitromethane</t>
  </si>
  <si>
    <t xml:space="preserve">Carbon tetrachloride</t>
  </si>
  <si>
    <t xml:space="preserve">Chloroform</t>
  </si>
  <si>
    <t xml:space="preserve">Dichloromethane</t>
  </si>
  <si>
    <t xml:space="preserve">Methyl chloride</t>
  </si>
  <si>
    <t xml:space="preserve">Ethyl chloride</t>
  </si>
  <si>
    <t xml:space="preserve">Chlorobenzene</t>
  </si>
  <si>
    <t xml:space="preserve">Tetrafluoroethane</t>
  </si>
  <si>
    <t xml:space="preserve">Argon</t>
  </si>
  <si>
    <t xml:space="preserve">Krypton</t>
  </si>
  <si>
    <t xml:space="preserve">Xenon</t>
  </si>
  <si>
    <t xml:space="preserve">Helium 4</t>
  </si>
  <si>
    <t xml:space="preserve">Hydrogen</t>
  </si>
  <si>
    <t xml:space="preserve">Oxygen</t>
  </si>
  <si>
    <t xml:space="preserve">Nitrogen</t>
  </si>
  <si>
    <t xml:space="preserve">Air</t>
  </si>
  <si>
    <t xml:space="preserve">Chlorine</t>
  </si>
  <si>
    <t xml:space="preserve">Carbon monoxide</t>
  </si>
  <si>
    <t xml:space="preserve">Carbon dioxide</t>
  </si>
  <si>
    <t xml:space="preserve">Carbon disulfide</t>
  </si>
  <si>
    <t xml:space="preserve">Hydrogen sulfide</t>
  </si>
  <si>
    <t xml:space="preserve">Sulfur dioxide</t>
  </si>
  <si>
    <t xml:space="preserve">Sulfur trioxide</t>
  </si>
  <si>
    <t xml:space="preserve">Nitric oxide (NO)</t>
  </si>
  <si>
    <t xml:space="preserve">Nitrous oxide (N2O)</t>
  </si>
  <si>
    <t xml:space="preserve">Hydrogen chloride</t>
  </si>
  <si>
    <t xml:space="preserve">Hydrogen cyanide</t>
  </si>
  <si>
    <t xml:space="preserve">Water</t>
  </si>
  <si>
    <t xml:space="preserve">Ammonia</t>
  </si>
  <si>
    <t xml:space="preserve">Nitric acid</t>
  </si>
  <si>
    <t xml:space="preserve">Sulfuric acid</t>
  </si>
  <si>
    <t xml:space="preserve">Tabla C.1: Capacidades caloríficas de gases en el estado de gas ideal</t>
  </si>
  <si>
    <t xml:space="preserve">Cp^ig/R = A + B·T + C·T² + D·T⁻²   T (K) de 298 a Tmáx.  Cols. G–J tal como el libro; cols. K–N = coeficientes reales para usar en fórmulas.</t>
  </si>
  <si>
    <t xml:space="preserve">Grupo</t>
  </si>
  <si>
    <t xml:space="preserve">Especie</t>
  </si>
  <si>
    <t xml:space="preserve">Species</t>
  </si>
  <si>
    <t xml:space="preserve">Fórmula</t>
  </si>
  <si>
    <t xml:space="preserve">Tmáx /K</t>
  </si>
  <si>
    <t xml:space="preserve">Cp298/R</t>
  </si>
  <si>
    <t xml:space="preserve">A</t>
  </si>
  <si>
    <t xml:space="preserve">10³ B</t>
  </si>
  <si>
    <t xml:space="preserve">10⁶ C</t>
  </si>
  <si>
    <t xml:space="preserve">10⁻⁵ D</t>
  </si>
  <si>
    <t xml:space="preserve">A (real)</t>
  </si>
  <si>
    <t xml:space="preserve">B (real)</t>
  </si>
  <si>
    <t xml:space="preserve">C (real)</t>
  </si>
  <si>
    <t xml:space="preserve">D (real)</t>
  </si>
  <si>
    <t xml:space="preserve">Parafinas</t>
  </si>
  <si>
    <t xml:space="preserve">Metano</t>
  </si>
  <si>
    <t xml:space="preserve">CH4</t>
  </si>
  <si>
    <t xml:space="preserve">Etano</t>
  </si>
  <si>
    <t xml:space="preserve">C2H6</t>
  </si>
  <si>
    <t xml:space="preserve">Propano</t>
  </si>
  <si>
    <t xml:space="preserve">C3H8</t>
  </si>
  <si>
    <t xml:space="preserve">n-Butano</t>
  </si>
  <si>
    <t xml:space="preserve">C4H10</t>
  </si>
  <si>
    <t xml:space="preserve">iso-Butano</t>
  </si>
  <si>
    <t xml:space="preserve">iso-Butane</t>
  </si>
  <si>
    <t xml:space="preserve">C4H10 (iso)</t>
  </si>
  <si>
    <t xml:space="preserve">n-Pentano</t>
  </si>
  <si>
    <t xml:space="preserve">C5H12</t>
  </si>
  <si>
    <t xml:space="preserve">n-Hexano</t>
  </si>
  <si>
    <t xml:space="preserve">C6H14</t>
  </si>
  <si>
    <t xml:space="preserve">n-Heptano</t>
  </si>
  <si>
    <t xml:space="preserve">C7H16</t>
  </si>
  <si>
    <t xml:space="preserve">n-Octano</t>
  </si>
  <si>
    <t xml:space="preserve">C8H18</t>
  </si>
  <si>
    <t xml:space="preserve">1-Alquenos</t>
  </si>
  <si>
    <t xml:space="preserve">Etileno</t>
  </si>
  <si>
    <t xml:space="preserve">C2H4</t>
  </si>
  <si>
    <t xml:space="preserve">Propileno</t>
  </si>
  <si>
    <t xml:space="preserve">C3H6</t>
  </si>
  <si>
    <t xml:space="preserve">1-Buteno</t>
  </si>
  <si>
    <t xml:space="preserve">C4H8</t>
  </si>
  <si>
    <t xml:space="preserve">1-Penteno</t>
  </si>
  <si>
    <t xml:space="preserve">1-Pentene</t>
  </si>
  <si>
    <t xml:space="preserve">C5H10</t>
  </si>
  <si>
    <t xml:space="preserve">1-Hexeno</t>
  </si>
  <si>
    <t xml:space="preserve">C6H12</t>
  </si>
  <si>
    <t xml:space="preserve">1-Hepteno</t>
  </si>
  <si>
    <t xml:space="preserve">1-Heptene</t>
  </si>
  <si>
    <t xml:space="preserve">C7H14</t>
  </si>
  <si>
    <t xml:space="preserve">1-Octeno</t>
  </si>
  <si>
    <t xml:space="preserve">1-Octene</t>
  </si>
  <si>
    <t xml:space="preserve">C8H16</t>
  </si>
  <si>
    <t xml:space="preserve">Orgánicos diversos</t>
  </si>
  <si>
    <t xml:space="preserve">Acetaldehído</t>
  </si>
  <si>
    <t xml:space="preserve">C2H4O</t>
  </si>
  <si>
    <t xml:space="preserve">Acetileno</t>
  </si>
  <si>
    <t xml:space="preserve">C2H2</t>
  </si>
  <si>
    <t xml:space="preserve">Benceno</t>
  </si>
  <si>
    <t xml:space="preserve">C6H6</t>
  </si>
  <si>
    <t xml:space="preserve">1,3-Butadieno</t>
  </si>
  <si>
    <t xml:space="preserve">C4H6</t>
  </si>
  <si>
    <t xml:space="preserve">Ciclohexano</t>
  </si>
  <si>
    <t xml:space="preserve">C6H12 (ciclo)</t>
  </si>
  <si>
    <t xml:space="preserve">Etanol</t>
  </si>
  <si>
    <t xml:space="preserve">C2H6O</t>
  </si>
  <si>
    <t xml:space="preserve">Etilbenceno</t>
  </si>
  <si>
    <t xml:space="preserve">C8H10</t>
  </si>
  <si>
    <t xml:space="preserve">Óxido de etileno</t>
  </si>
  <si>
    <t xml:space="preserve">Ethylene oxide</t>
  </si>
  <si>
    <t xml:space="preserve">C2H4O (oxido)</t>
  </si>
  <si>
    <t xml:space="preserve">Formaldehído</t>
  </si>
  <si>
    <t xml:space="preserve">CH2O</t>
  </si>
  <si>
    <t xml:space="preserve">Metanol</t>
  </si>
  <si>
    <t xml:space="preserve">CH4O</t>
  </si>
  <si>
    <t xml:space="preserve">Estireno</t>
  </si>
  <si>
    <t xml:space="preserve">C8H8</t>
  </si>
  <si>
    <t xml:space="preserve">Tolueno</t>
  </si>
  <si>
    <t xml:space="preserve">C7H8</t>
  </si>
  <si>
    <t xml:space="preserve">Inorgánicos diversos</t>
  </si>
  <si>
    <t xml:space="preserve">Aire</t>
  </si>
  <si>
    <t xml:space="preserve">Amoniaco</t>
  </si>
  <si>
    <t xml:space="preserve">NH3</t>
  </si>
  <si>
    <t xml:space="preserve">Bromo</t>
  </si>
  <si>
    <t xml:space="preserve">Bromine</t>
  </si>
  <si>
    <t xml:space="preserve">Br2</t>
  </si>
  <si>
    <t xml:space="preserve">Monóxido de carbono</t>
  </si>
  <si>
    <t xml:space="preserve">CO</t>
  </si>
  <si>
    <t xml:space="preserve">Dióxido de carbono</t>
  </si>
  <si>
    <t xml:space="preserve">CO2</t>
  </si>
  <si>
    <t xml:space="preserve">Disulfuro de carbono</t>
  </si>
  <si>
    <t xml:space="preserve">CS2</t>
  </si>
  <si>
    <t xml:space="preserve">Cloro</t>
  </si>
  <si>
    <t xml:space="preserve">Cl2</t>
  </si>
  <si>
    <t xml:space="preserve">Hidrógeno</t>
  </si>
  <si>
    <t xml:space="preserve">H2</t>
  </si>
  <si>
    <t xml:space="preserve">Sulfuro de hidrógeno</t>
  </si>
  <si>
    <t xml:space="preserve">H2S</t>
  </si>
  <si>
    <t xml:space="preserve">Cloruro de hidrógeno</t>
  </si>
  <si>
    <t xml:space="preserve">HCl</t>
  </si>
  <si>
    <t xml:space="preserve">Cianuro de hidrógeno</t>
  </si>
  <si>
    <t xml:space="preserve">HCN</t>
  </si>
  <si>
    <t xml:space="preserve">Nitrógeno</t>
  </si>
  <si>
    <t xml:space="preserve">N2</t>
  </si>
  <si>
    <t xml:space="preserve">Óxido nitroso</t>
  </si>
  <si>
    <t xml:space="preserve">Nitrous oxide</t>
  </si>
  <si>
    <t xml:space="preserve">N2O</t>
  </si>
  <si>
    <t xml:space="preserve">Óxido nítrico</t>
  </si>
  <si>
    <t xml:space="preserve">Nitric oxide</t>
  </si>
  <si>
    <t xml:space="preserve">NO</t>
  </si>
  <si>
    <t xml:space="preserve">Dióxido de nitrógeno</t>
  </si>
  <si>
    <t xml:space="preserve">Nitrogen dioxide</t>
  </si>
  <si>
    <t xml:space="preserve">NO2</t>
  </si>
  <si>
    <t xml:space="preserve">Tetraóxido de dinitrógeno</t>
  </si>
  <si>
    <t xml:space="preserve">Dinitrogen tetroxide</t>
  </si>
  <si>
    <t xml:space="preserve">N2O4</t>
  </si>
  <si>
    <t xml:space="preserve">Oxígeno</t>
  </si>
  <si>
    <t xml:space="preserve">O2</t>
  </si>
  <si>
    <t xml:space="preserve">Dióxido de azufre</t>
  </si>
  <si>
    <t xml:space="preserve">SO2</t>
  </si>
  <si>
    <t xml:space="preserve">Trióxido de azufre</t>
  </si>
  <si>
    <t xml:space="preserve">SO3</t>
  </si>
  <si>
    <t xml:space="preserve">Agua</t>
  </si>
  <si>
    <t xml:space="preserve">H2O</t>
  </si>
  <si>
    <t xml:space="preserve">† Seleccionadas de H. M. Spencer, Ind. Eng. Chem. 40 (1948); K. K. Kelley, U.S. Bur. Mines Bull. 584 (1960); L. B. Pankratz, U.S. Bur. Mines Bull. 672 (1982).</t>
  </si>
  <si>
    <t xml:space="preserve">Tabla C.2: Capacidades caloríficas de sólidos</t>
  </si>
  <si>
    <t xml:space="preserve">Cp/R = A + B·T + D·T⁻²   T (K) de 298 a Tmáx.</t>
  </si>
  <si>
    <t xml:space="preserve">Óxido de calcio</t>
  </si>
  <si>
    <t xml:space="preserve">Calcium oxide</t>
  </si>
  <si>
    <t xml:space="preserve">CaO</t>
  </si>
  <si>
    <t xml:space="preserve">Carbonato de calcio</t>
  </si>
  <si>
    <t xml:space="preserve">Calcium carbonate</t>
  </si>
  <si>
    <t xml:space="preserve">CaCO3</t>
  </si>
  <si>
    <t xml:space="preserve">Hidróxido de calcio</t>
  </si>
  <si>
    <t xml:space="preserve">Calcium hydroxide</t>
  </si>
  <si>
    <t xml:space="preserve">Ca(OH)2</t>
  </si>
  <si>
    <t xml:space="preserve">Carburo de calcio</t>
  </si>
  <si>
    <t xml:space="preserve">Calcium carbide</t>
  </si>
  <si>
    <t xml:space="preserve">CaC2</t>
  </si>
  <si>
    <t xml:space="preserve">Cloruro de calcio</t>
  </si>
  <si>
    <t xml:space="preserve">Calcium chloride</t>
  </si>
  <si>
    <t xml:space="preserve">CaCl2</t>
  </si>
  <si>
    <t xml:space="preserve">Carbono (grafito)</t>
  </si>
  <si>
    <t xml:space="preserve">Carbon (graphite)</t>
  </si>
  <si>
    <t xml:space="preserve">C</t>
  </si>
  <si>
    <t xml:space="preserve">Cobre</t>
  </si>
  <si>
    <t xml:space="preserve">Copper</t>
  </si>
  <si>
    <t xml:space="preserve">Cu</t>
  </si>
  <si>
    <t xml:space="preserve">Óxido de cobre</t>
  </si>
  <si>
    <t xml:space="preserve">Copper oxide</t>
  </si>
  <si>
    <t xml:space="preserve">CuO</t>
  </si>
  <si>
    <t xml:space="preserve">Hierro (α)</t>
  </si>
  <si>
    <t xml:space="preserve">Iron (α)</t>
  </si>
  <si>
    <t xml:space="preserve">Fe</t>
  </si>
  <si>
    <t xml:space="preserve">Óxido de hierro (hematita)</t>
  </si>
  <si>
    <t xml:space="preserve">Iron oxide (hematite)</t>
  </si>
  <si>
    <t xml:space="preserve">Fe2O3</t>
  </si>
  <si>
    <t xml:space="preserve">Óxido de hierro (magnetita)</t>
  </si>
  <si>
    <t xml:space="preserve">Iron oxide (magnetite)</t>
  </si>
  <si>
    <t xml:space="preserve">Fe3O4</t>
  </si>
  <si>
    <t xml:space="preserve">Sulfuro de hierro</t>
  </si>
  <si>
    <t xml:space="preserve">Iron sulfide</t>
  </si>
  <si>
    <t xml:space="preserve">FeS</t>
  </si>
  <si>
    <t xml:space="preserve">Yodo</t>
  </si>
  <si>
    <t xml:space="preserve">Iodine</t>
  </si>
  <si>
    <t xml:space="preserve">I2</t>
  </si>
  <si>
    <t xml:space="preserve">Cloruro de litio</t>
  </si>
  <si>
    <t xml:space="preserve">Lithium chloride</t>
  </si>
  <si>
    <t xml:space="preserve">LiCl</t>
  </si>
  <si>
    <t xml:space="preserve">Cloruro de amonio</t>
  </si>
  <si>
    <t xml:space="preserve">Ammonium chloride</t>
  </si>
  <si>
    <t xml:space="preserve">NH4Cl</t>
  </si>
  <si>
    <t xml:space="preserve">Sodio</t>
  </si>
  <si>
    <t xml:space="preserve">Sodium</t>
  </si>
  <si>
    <t xml:space="preserve">Na</t>
  </si>
  <si>
    <t xml:space="preserve">Cloruro de sodio</t>
  </si>
  <si>
    <t xml:space="preserve">Sodium chloride</t>
  </si>
  <si>
    <t xml:space="preserve">NaCl</t>
  </si>
  <si>
    <t xml:space="preserve">Hidróxido de sodio</t>
  </si>
  <si>
    <t xml:space="preserve">Sodium hydroxide</t>
  </si>
  <si>
    <t xml:space="preserve">NaOH</t>
  </si>
  <si>
    <t xml:space="preserve">Bicarbonato de sodio</t>
  </si>
  <si>
    <t xml:space="preserve">Sodium bicarbonate</t>
  </si>
  <si>
    <t xml:space="preserve">NaHCO3</t>
  </si>
  <si>
    <t xml:space="preserve">Azufre (rómbico)</t>
  </si>
  <si>
    <t xml:space="preserve">Sulfur (rhombic)</t>
  </si>
  <si>
    <t xml:space="preserve">S</t>
  </si>
  <si>
    <t xml:space="preserve">Sílice (cuarzo)</t>
  </si>
  <si>
    <t xml:space="preserve">Silica (quartz)</t>
  </si>
  <si>
    <t xml:space="preserve">SiO2</t>
  </si>
  <si>
    <t xml:space="preserve">Tabla C.3: Capacidades caloríficas de líquidos</t>
  </si>
  <si>
    <t xml:space="preserve">Cp/R = A + B·T + C·T²   T de 273.15 a 373.15 K.</t>
  </si>
  <si>
    <t xml:space="preserve">Anilina</t>
  </si>
  <si>
    <t xml:space="preserve">Aniline</t>
  </si>
  <si>
    <t xml:space="preserve">C6H7N</t>
  </si>
  <si>
    <t xml:space="preserve">Tetracloruro de carbono</t>
  </si>
  <si>
    <t xml:space="preserve">CCl4</t>
  </si>
  <si>
    <t xml:space="preserve">Clorobenceno</t>
  </si>
  <si>
    <t xml:space="preserve">C6H5Cl</t>
  </si>
  <si>
    <t xml:space="preserve">Cloroformo</t>
  </si>
  <si>
    <t xml:space="preserve">CHCl3</t>
  </si>
  <si>
    <t xml:space="preserve">n-Propanol</t>
  </si>
  <si>
    <t xml:space="preserve">C3H8O</t>
  </si>
  <si>
    <t xml:space="preserve">Tabla C.4: Entalpías estándar y energías de Gibbs de formación a 298.15 K</t>
  </si>
  <si>
    <t xml:space="preserve">J por mol de sustancia formada. Estado estándar: (g) gas ideal puro a 1 bar; (l),(s) sustancia pura a 1 bar; (ac) solución ideal hipotética 1 molal. Clave = Fórmula + (estado).</t>
  </si>
  <si>
    <t xml:space="preserve">Estado</t>
  </si>
  <si>
    <t xml:space="preserve">Clave</t>
  </si>
  <si>
    <t xml:space="preserve">ΔH°f298 /J·mol⁻¹</t>
  </si>
  <si>
    <t xml:space="preserve">ΔG°f298 /J·mol⁻¹</t>
  </si>
  <si>
    <t xml:space="preserve">g</t>
  </si>
  <si>
    <t xml:space="preserve">Ácido acético</t>
  </si>
  <si>
    <t xml:space="preserve">C2H4O2</t>
  </si>
  <si>
    <t xml:space="preserve">l</t>
  </si>
  <si>
    <t xml:space="preserve">1,2-Etanodiol</t>
  </si>
  <si>
    <t xml:space="preserve">1,2-Ethanediol</t>
  </si>
  <si>
    <t xml:space="preserve">C2H6O2</t>
  </si>
  <si>
    <t xml:space="preserve">Metilciclohexano</t>
  </si>
  <si>
    <t xml:space="preserve">C7H14 (ciclo)</t>
  </si>
  <si>
    <t xml:space="preserve">ac</t>
  </si>
  <si>
    <t xml:space="preserve">s</t>
  </si>
  <si>
    <t xml:space="preserve">CaCl2·6H2O</t>
  </si>
  <si>
    <t xml:space="preserve">Ácido clorhídrico</t>
  </si>
  <si>
    <t xml:space="preserve">Hydrochloric acid</t>
  </si>
  <si>
    <t xml:space="preserve">Óxido de hierro</t>
  </si>
  <si>
    <t xml:space="preserve">Iron oxide</t>
  </si>
  <si>
    <t xml:space="preserve">FeO</t>
  </si>
  <si>
    <t xml:space="preserve">Sulfuro de hierro (pirita)</t>
  </si>
  <si>
    <t xml:space="preserve">Iron sulfide (pyrite)</t>
  </si>
  <si>
    <t xml:space="preserve">FeS2</t>
  </si>
  <si>
    <t xml:space="preserve">LiCl·H2O</t>
  </si>
  <si>
    <t xml:space="preserve">LiCl·2H2O</t>
  </si>
  <si>
    <t xml:space="preserve">LiCl·3H2O</t>
  </si>
  <si>
    <t xml:space="preserve">Ácido nítrico</t>
  </si>
  <si>
    <t xml:space="preserve">HNO3</t>
  </si>
  <si>
    <t xml:space="preserve">Carbonato de sodio</t>
  </si>
  <si>
    <t xml:space="preserve">Sodium carbonate</t>
  </si>
  <si>
    <t xml:space="preserve">Na2CO3</t>
  </si>
  <si>
    <t xml:space="preserve">Na2CO3·10H2O</t>
  </si>
  <si>
    <t xml:space="preserve">Ácido sulfúrico</t>
  </si>
  <si>
    <t xml:space="preserve">H2SO4</t>
  </si>
  <si>
    <t xml:space="preserve">† TRC Thermodynamic Tables–Hydrocarbons (Texas A&amp;M); 'The NBS Tables of Chemical Thermodynamic Properties', J. Phys. Chem. Ref. Data 11, supl. 2 (1982).</t>
  </si>
  <si>
    <t xml:space="preserve">BD_Gases — maestro por especie gaseosa (gas ideal)</t>
  </si>
  <si>
    <t xml:space="preserve">Todo por INDEX/MATCH a C1_Gases y C4_Formacion. Hf, Gf en J/mol; A, B, C, D reales (Cp/R = A + B·T + C·T² + D·T⁻²). Esta hoja es la que se copia a cada libro de ejercicio.</t>
  </si>
  <si>
    <t xml:space="preserve">B</t>
  </si>
  <si>
    <t xml:space="preserve">D</t>
  </si>
  <si>
    <t xml:space="preserve">Fuente Hf/Gf</t>
  </si>
  <si>
    <t xml:space="preserve">Tabla C.4 (g)</t>
  </si>
  <si>
    <t xml:space="preserve">No está en C.4 (solo Cp)</t>
  </si>
  <si>
    <t xml:space="preserve">Elemento, estado estándar = 0</t>
  </si>
  <si>
    <t xml:space="preserve">Buscar propiedades de una especie</t>
  </si>
  <si>
    <t xml:space="preserve">Escribe la fórmula exactamente como en BD_Gases (p. ej. CH4, H2O, C4H10 (iso)) en la celda amarilla.</t>
  </si>
  <si>
    <t xml:space="preserve">Fórmula:</t>
  </si>
  <si>
    <t xml:space="preserve">T /K:</t>
  </si>
  <si>
    <t xml:space="preserve">Cp/R a T</t>
  </si>
  <si>
    <t xml:space="preserve">Cp /J·mol⁻¹·K⁻¹</t>
  </si>
  <si>
    <t xml:space="preserve">Aviso Tmáx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</si>
</sst>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"/>
    <numFmt numFmtId="167" formatCode="0.00"/>
    <numFmt numFmtId="168" formatCode="0"/>
    <numFmt numFmtId="169" formatCode="0.000E+00"/>
    <numFmt numFmtId="170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1"/>
      <color rgb="FF1F3864"/>
      <name val="Aptos Narrow"/>
      <family val="0"/>
      <charset val="1"/>
    </font>
    <font>
      <sz val="11"/>
      <color rgb="FF000000"/>
      <name val="Aptos Narrow"/>
      <family val="0"/>
      <charset val="1"/>
    </font>
    <font>
      <b val="true"/>
      <sz val="12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DGases" displayName="BDGases" ref="A4:K51" headerRowCount="1" totalsRowCount="0" totalsRowShown="0">
  <autoFilter ref="A4:K51"/>
  <tableColumns count="11">
    <tableColumn id="1" name="Fórmula"/>
    <tableColumn id="2" name="Especie"/>
    <tableColumn id="3" name="ΔH°f298 /J·mol⁻¹"/>
    <tableColumn id="4" name="ΔG°f298 /J·mol⁻¹"/>
    <tableColumn id="5" name="A"/>
    <tableColumn id="6" name="B"/>
    <tableColumn id="7" name="C"/>
    <tableColumn id="8" name="D"/>
    <tableColumn id="9" name="Tmáx /K"/>
    <tableColumn id="10" name="Cp298/R"/>
    <tableColumn id="11" name="Fuente Hf/Gf"/>
  </tableColumns>
</table>
</file>

<file path=xl/tables/table2.xml><?xml version="1.0" encoding="utf-8"?>
<table xmlns="http://schemas.openxmlformats.org/spreadsheetml/2006/main" id="2" name="TablaB1" displayName="TablaB1" ref="A4:H93" headerRowCount="1" totalsRowCount="0" totalsRowShown="0">
  <autoFilter ref="A4:H93"/>
  <tableColumns count="8">
    <tableColumn id="1" name="Especie (EN)"/>
    <tableColumn id="2" name="Masa molar"/>
    <tableColumn id="3" name="ω"/>
    <tableColumn id="4" name="Tc /K"/>
    <tableColumn id="5" name="Pc /bar"/>
    <tableColumn id="6" name="Zc"/>
    <tableColumn id="7" name="Vc /cm³·mol⁻¹"/>
    <tableColumn id="8" name="Tn /K"/>
  </tableColumns>
</table>
</file>

<file path=xl/tables/table3.xml><?xml version="1.0" encoding="utf-8"?>
<table xmlns="http://schemas.openxmlformats.org/spreadsheetml/2006/main" id="3" name="TablaC1" displayName="TablaC1" ref="A4:N52" headerRowCount="1" totalsRowCount="0" totalsRowShown="0">
  <autoFilter ref="A4:N52"/>
  <tableColumns count="14">
    <tableColumn id="1" name="Grupo"/>
    <tableColumn id="2" name="Especie"/>
    <tableColumn id="3" name="Species"/>
    <tableColumn id="4" name="Fórmula"/>
    <tableColumn id="5" name="Tmáx /K"/>
    <tableColumn id="6" name="Cp298/R"/>
    <tableColumn id="7" name="A"/>
    <tableColumn id="8" name="10³ B"/>
    <tableColumn id="9" name="10⁶ C"/>
    <tableColumn id="10" name="10⁻⁵ D"/>
    <tableColumn id="11" name="A (real)"/>
    <tableColumn id="12" name="B (real)"/>
    <tableColumn id="13" name="C (real)"/>
    <tableColumn id="14" name="D (real)"/>
  </tableColumns>
</table>
</file>

<file path=xl/tables/table4.xml><?xml version="1.0" encoding="utf-8"?>
<table xmlns="http://schemas.openxmlformats.org/spreadsheetml/2006/main" id="4" name="TablaC2" displayName="TablaC2" ref="A4:K25" headerRowCount="1" totalsRowCount="0" totalsRowShown="0">
  <autoFilter ref="A4:K25"/>
  <tableColumns count="11">
    <tableColumn id="1" name="Especie"/>
    <tableColumn id="2" name="Species"/>
    <tableColumn id="3" name="Fórmula"/>
    <tableColumn id="4" name="Tmáx /K"/>
    <tableColumn id="5" name="Cp298/R"/>
    <tableColumn id="6" name="A"/>
    <tableColumn id="7" name="10³ B"/>
    <tableColumn id="8" name="10⁻⁵ D"/>
    <tableColumn id="9" name="A (real)"/>
    <tableColumn id="10" name="B (real)"/>
    <tableColumn id="11" name="D (real)"/>
  </tableColumns>
</table>
</file>

<file path=xl/tables/table5.xml><?xml version="1.0" encoding="utf-8"?>
<table xmlns="http://schemas.openxmlformats.org/spreadsheetml/2006/main" id="5" name="TablaC3" displayName="TablaC3" ref="A4:J19" headerRowCount="1" totalsRowCount="0" totalsRowShown="0">
  <autoFilter ref="A4:J19"/>
  <tableColumns count="10">
    <tableColumn id="1" name="Especie"/>
    <tableColumn id="2" name="Species"/>
    <tableColumn id="3" name="Fórmula"/>
    <tableColumn id="4" name="Cp298/R"/>
    <tableColumn id="5" name="A"/>
    <tableColumn id="6" name="10³ B"/>
    <tableColumn id="7" name="10⁶ C"/>
    <tableColumn id="8" name="A (real)"/>
    <tableColumn id="9" name="B (real)"/>
    <tableColumn id="10" name="C (real)"/>
  </tableColumns>
</table>
</file>

<file path=xl/tables/table6.xml><?xml version="1.0" encoding="utf-8"?>
<table xmlns="http://schemas.openxmlformats.org/spreadsheetml/2006/main" id="6" name="TablaC4" displayName="TablaC4" ref="A4:H81" headerRowCount="1" totalsRowCount="0" totalsRowShown="0">
  <autoFilter ref="A4:H81"/>
  <tableColumns count="8">
    <tableColumn id="1" name="Grupo"/>
    <tableColumn id="2" name="Especie"/>
    <tableColumn id="3" name="Species"/>
    <tableColumn id="4" name="Fórmula"/>
    <tableColumn id="5" name="Estado"/>
    <tableColumn id="6" name="Clave"/>
    <tableColumn id="7" name="ΔH°f298 /J·mol⁻¹"/>
    <tableColumn id="8" name="ΔG°f298 /J·mol⁻¹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</row>
    <row r="4" customFormat="false" ht="31.5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</row>
    <row r="5" customFormat="false" ht="15" hidden="false" customHeight="false" outlineLevel="0" collapsed="false">
      <c r="A5" s="6" t="s">
        <v>29</v>
      </c>
      <c r="B5" s="7" t="n">
        <v>16.043</v>
      </c>
      <c r="C5" s="7" t="n">
        <v>0.012</v>
      </c>
      <c r="D5" s="8" t="n">
        <v>190.6</v>
      </c>
      <c r="E5" s="9" t="n">
        <v>45.99</v>
      </c>
      <c r="F5" s="7" t="n">
        <v>0.286</v>
      </c>
      <c r="G5" s="8" t="n">
        <v>98.6</v>
      </c>
      <c r="H5" s="8" t="n">
        <v>111.4</v>
      </c>
    </row>
    <row r="6" customFormat="false" ht="15" hidden="false" customHeight="false" outlineLevel="0" collapsed="false">
      <c r="A6" s="6" t="s">
        <v>30</v>
      </c>
      <c r="B6" s="7" t="n">
        <v>30.07</v>
      </c>
      <c r="C6" s="7" t="n">
        <v>0.1</v>
      </c>
      <c r="D6" s="8" t="n">
        <v>305.3</v>
      </c>
      <c r="E6" s="9" t="n">
        <v>48.72</v>
      </c>
      <c r="F6" s="7" t="n">
        <v>0.279</v>
      </c>
      <c r="G6" s="8" t="n">
        <v>145.5</v>
      </c>
      <c r="H6" s="8" t="n">
        <v>184.6</v>
      </c>
    </row>
    <row r="7" customFormat="false" ht="15" hidden="false" customHeight="false" outlineLevel="0" collapsed="false">
      <c r="A7" s="6" t="s">
        <v>31</v>
      </c>
      <c r="B7" s="7" t="n">
        <v>44.097</v>
      </c>
      <c r="C7" s="7" t="n">
        <v>0.152</v>
      </c>
      <c r="D7" s="8" t="n">
        <v>369.8</v>
      </c>
      <c r="E7" s="9" t="n">
        <v>42.48</v>
      </c>
      <c r="F7" s="7" t="n">
        <v>0.276</v>
      </c>
      <c r="G7" s="8" t="n">
        <v>200</v>
      </c>
      <c r="H7" s="8" t="n">
        <v>231.1</v>
      </c>
    </row>
    <row r="8" customFormat="false" ht="15" hidden="false" customHeight="false" outlineLevel="0" collapsed="false">
      <c r="A8" s="6" t="s">
        <v>32</v>
      </c>
      <c r="B8" s="7" t="n">
        <v>58.123</v>
      </c>
      <c r="C8" s="7" t="n">
        <v>0.2</v>
      </c>
      <c r="D8" s="8" t="n">
        <v>425.1</v>
      </c>
      <c r="E8" s="9" t="n">
        <v>37.96</v>
      </c>
      <c r="F8" s="7" t="n">
        <v>0.274</v>
      </c>
      <c r="G8" s="8" t="n">
        <v>255</v>
      </c>
      <c r="H8" s="8" t="n">
        <v>272.7</v>
      </c>
    </row>
    <row r="9" customFormat="false" ht="15" hidden="false" customHeight="false" outlineLevel="0" collapsed="false">
      <c r="A9" s="6" t="s">
        <v>33</v>
      </c>
      <c r="B9" s="7" t="n">
        <v>72.15</v>
      </c>
      <c r="C9" s="7" t="n">
        <v>0.252</v>
      </c>
      <c r="D9" s="8" t="n">
        <v>469.7</v>
      </c>
      <c r="E9" s="9" t="n">
        <v>33.7</v>
      </c>
      <c r="F9" s="7" t="n">
        <v>0.27</v>
      </c>
      <c r="G9" s="8" t="n">
        <v>313</v>
      </c>
      <c r="H9" s="8" t="n">
        <v>309.2</v>
      </c>
    </row>
    <row r="10" customFormat="false" ht="15" hidden="false" customHeight="false" outlineLevel="0" collapsed="false">
      <c r="A10" s="6" t="s">
        <v>34</v>
      </c>
      <c r="B10" s="7" t="n">
        <v>86.177</v>
      </c>
      <c r="C10" s="7" t="n">
        <v>0.301</v>
      </c>
      <c r="D10" s="8" t="n">
        <v>507.6</v>
      </c>
      <c r="E10" s="9" t="n">
        <v>30.25</v>
      </c>
      <c r="F10" s="7" t="n">
        <v>0.266</v>
      </c>
      <c r="G10" s="8" t="n">
        <v>371</v>
      </c>
      <c r="H10" s="8" t="n">
        <v>341.9</v>
      </c>
    </row>
    <row r="11" customFormat="false" ht="15" hidden="false" customHeight="false" outlineLevel="0" collapsed="false">
      <c r="A11" s="6" t="s">
        <v>35</v>
      </c>
      <c r="B11" s="7" t="n">
        <v>100.204</v>
      </c>
      <c r="C11" s="7" t="n">
        <v>0.35</v>
      </c>
      <c r="D11" s="8" t="n">
        <v>540.2</v>
      </c>
      <c r="E11" s="9" t="n">
        <v>27.4</v>
      </c>
      <c r="F11" s="7" t="n">
        <v>0.261</v>
      </c>
      <c r="G11" s="8" t="n">
        <v>428</v>
      </c>
      <c r="H11" s="8" t="n">
        <v>371.6</v>
      </c>
    </row>
    <row r="12" customFormat="false" ht="15" hidden="false" customHeight="false" outlineLevel="0" collapsed="false">
      <c r="A12" s="6" t="s">
        <v>36</v>
      </c>
      <c r="B12" s="7" t="n">
        <v>114.231</v>
      </c>
      <c r="C12" s="7" t="n">
        <v>0.4</v>
      </c>
      <c r="D12" s="8" t="n">
        <v>568.7</v>
      </c>
      <c r="E12" s="9" t="n">
        <v>24.9</v>
      </c>
      <c r="F12" s="7" t="n">
        <v>0.256</v>
      </c>
      <c r="G12" s="8" t="n">
        <v>486</v>
      </c>
      <c r="H12" s="8" t="n">
        <v>398.8</v>
      </c>
    </row>
    <row r="13" customFormat="false" ht="15" hidden="false" customHeight="false" outlineLevel="0" collapsed="false">
      <c r="A13" s="6" t="s">
        <v>37</v>
      </c>
      <c r="B13" s="7" t="n">
        <v>128.258</v>
      </c>
      <c r="C13" s="7" t="n">
        <v>0.444</v>
      </c>
      <c r="D13" s="8" t="n">
        <v>594.6</v>
      </c>
      <c r="E13" s="9" t="n">
        <v>22.9</v>
      </c>
      <c r="F13" s="7" t="n">
        <v>0.252</v>
      </c>
      <c r="G13" s="8" t="n">
        <v>544</v>
      </c>
      <c r="H13" s="8" t="n">
        <v>424</v>
      </c>
    </row>
    <row r="14" customFormat="false" ht="15" hidden="false" customHeight="false" outlineLevel="0" collapsed="false">
      <c r="A14" s="6" t="s">
        <v>38</v>
      </c>
      <c r="B14" s="7" t="n">
        <v>142.285</v>
      </c>
      <c r="C14" s="7" t="n">
        <v>0.492</v>
      </c>
      <c r="D14" s="8" t="n">
        <v>617.7</v>
      </c>
      <c r="E14" s="9" t="n">
        <v>21.1</v>
      </c>
      <c r="F14" s="7" t="n">
        <v>0.247</v>
      </c>
      <c r="G14" s="8" t="n">
        <v>600</v>
      </c>
      <c r="H14" s="8" t="n">
        <v>447.3</v>
      </c>
    </row>
    <row r="15" customFormat="false" ht="15" hidden="false" customHeight="false" outlineLevel="0" collapsed="false">
      <c r="A15" s="6" t="s">
        <v>39</v>
      </c>
      <c r="B15" s="7" t="n">
        <v>58.123</v>
      </c>
      <c r="C15" s="7" t="n">
        <v>0.181</v>
      </c>
      <c r="D15" s="8" t="n">
        <v>408.1</v>
      </c>
      <c r="E15" s="9" t="n">
        <v>36.48</v>
      </c>
      <c r="F15" s="7" t="n">
        <v>0.282</v>
      </c>
      <c r="G15" s="8" t="n">
        <v>262.7</v>
      </c>
      <c r="H15" s="8" t="n">
        <v>261.4</v>
      </c>
    </row>
    <row r="16" customFormat="false" ht="15" hidden="false" customHeight="false" outlineLevel="0" collapsed="false">
      <c r="A16" s="6" t="s">
        <v>40</v>
      </c>
      <c r="B16" s="7" t="n">
        <v>114.231</v>
      </c>
      <c r="C16" s="7" t="n">
        <v>0.302</v>
      </c>
      <c r="D16" s="8" t="n">
        <v>544</v>
      </c>
      <c r="E16" s="9" t="n">
        <v>25.68</v>
      </c>
      <c r="F16" s="7" t="n">
        <v>0.266</v>
      </c>
      <c r="G16" s="8" t="n">
        <v>468</v>
      </c>
      <c r="H16" s="8" t="n">
        <v>372.4</v>
      </c>
    </row>
    <row r="17" customFormat="false" ht="15" hidden="false" customHeight="false" outlineLevel="0" collapsed="false">
      <c r="A17" s="6" t="s">
        <v>41</v>
      </c>
      <c r="B17" s="7" t="n">
        <v>70.134</v>
      </c>
      <c r="C17" s="7" t="n">
        <v>0.196</v>
      </c>
      <c r="D17" s="8" t="n">
        <v>511.8</v>
      </c>
      <c r="E17" s="9" t="n">
        <v>45.02</v>
      </c>
      <c r="F17" s="7" t="n">
        <v>0.273</v>
      </c>
      <c r="G17" s="8" t="n">
        <v>258</v>
      </c>
      <c r="H17" s="8" t="n">
        <v>322.4</v>
      </c>
    </row>
    <row r="18" customFormat="false" ht="15" hidden="false" customHeight="false" outlineLevel="0" collapsed="false">
      <c r="A18" s="6" t="s">
        <v>42</v>
      </c>
      <c r="B18" s="7" t="n">
        <v>84.161</v>
      </c>
      <c r="C18" s="7" t="n">
        <v>0.21</v>
      </c>
      <c r="D18" s="8" t="n">
        <v>553.6</v>
      </c>
      <c r="E18" s="9" t="n">
        <v>40.73</v>
      </c>
      <c r="F18" s="7" t="n">
        <v>0.273</v>
      </c>
      <c r="G18" s="8" t="n">
        <v>308</v>
      </c>
      <c r="H18" s="8" t="n">
        <v>353.9</v>
      </c>
    </row>
    <row r="19" customFormat="false" ht="15" hidden="false" customHeight="false" outlineLevel="0" collapsed="false">
      <c r="A19" s="6" t="s">
        <v>43</v>
      </c>
      <c r="B19" s="7" t="n">
        <v>84.161</v>
      </c>
      <c r="C19" s="7" t="n">
        <v>0.23</v>
      </c>
      <c r="D19" s="8" t="n">
        <v>532.8</v>
      </c>
      <c r="E19" s="9" t="n">
        <v>37.85</v>
      </c>
      <c r="F19" s="7" t="n">
        <v>0.272</v>
      </c>
      <c r="G19" s="8" t="n">
        <v>319</v>
      </c>
      <c r="H19" s="8" t="n">
        <v>345</v>
      </c>
    </row>
    <row r="20" customFormat="false" ht="15" hidden="false" customHeight="false" outlineLevel="0" collapsed="false">
      <c r="A20" s="6" t="s">
        <v>44</v>
      </c>
      <c r="B20" s="7" t="n">
        <v>98.188</v>
      </c>
      <c r="C20" s="7" t="n">
        <v>0.235</v>
      </c>
      <c r="D20" s="8" t="n">
        <v>572.2</v>
      </c>
      <c r="E20" s="9" t="n">
        <v>34.71</v>
      </c>
      <c r="F20" s="7" t="n">
        <v>0.269</v>
      </c>
      <c r="G20" s="8" t="n">
        <v>368</v>
      </c>
      <c r="H20" s="8" t="n">
        <v>374.1</v>
      </c>
    </row>
    <row r="21" customFormat="false" ht="15" hidden="false" customHeight="false" outlineLevel="0" collapsed="false">
      <c r="A21" s="6" t="s">
        <v>45</v>
      </c>
      <c r="B21" s="7" t="n">
        <v>28.054</v>
      </c>
      <c r="C21" s="7" t="n">
        <v>0.087</v>
      </c>
      <c r="D21" s="8" t="n">
        <v>282.3</v>
      </c>
      <c r="E21" s="9" t="n">
        <v>50.4</v>
      </c>
      <c r="F21" s="7" t="n">
        <v>0.281</v>
      </c>
      <c r="G21" s="8" t="n">
        <v>131</v>
      </c>
      <c r="H21" s="8" t="n">
        <v>169.4</v>
      </c>
    </row>
    <row r="22" customFormat="false" ht="15" hidden="false" customHeight="false" outlineLevel="0" collapsed="false">
      <c r="A22" s="6" t="s">
        <v>46</v>
      </c>
      <c r="B22" s="7" t="n">
        <v>42.081</v>
      </c>
      <c r="C22" s="7" t="n">
        <v>0.14</v>
      </c>
      <c r="D22" s="8" t="n">
        <v>365.6</v>
      </c>
      <c r="E22" s="9" t="n">
        <v>46.65</v>
      </c>
      <c r="F22" s="7" t="n">
        <v>0.289</v>
      </c>
      <c r="G22" s="8" t="n">
        <v>188.4</v>
      </c>
      <c r="H22" s="8" t="n">
        <v>225.5</v>
      </c>
    </row>
    <row r="23" customFormat="false" ht="15" hidden="false" customHeight="false" outlineLevel="0" collapsed="false">
      <c r="A23" s="6" t="s">
        <v>47</v>
      </c>
      <c r="B23" s="7" t="n">
        <v>56.108</v>
      </c>
      <c r="C23" s="7" t="n">
        <v>0.191</v>
      </c>
      <c r="D23" s="8" t="n">
        <v>420</v>
      </c>
      <c r="E23" s="9" t="n">
        <v>40.43</v>
      </c>
      <c r="F23" s="7" t="n">
        <v>0.277</v>
      </c>
      <c r="G23" s="8" t="n">
        <v>239.3</v>
      </c>
      <c r="H23" s="8" t="n">
        <v>266.9</v>
      </c>
    </row>
    <row r="24" customFormat="false" ht="15" hidden="false" customHeight="false" outlineLevel="0" collapsed="false">
      <c r="A24" s="6" t="s">
        <v>48</v>
      </c>
      <c r="B24" s="7" t="n">
        <v>56.108</v>
      </c>
      <c r="C24" s="7" t="n">
        <v>0.205</v>
      </c>
      <c r="D24" s="8" t="n">
        <v>435.6</v>
      </c>
      <c r="E24" s="9" t="n">
        <v>42.43</v>
      </c>
      <c r="F24" s="7" t="n">
        <v>0.273</v>
      </c>
      <c r="G24" s="8" t="n">
        <v>233.8</v>
      </c>
      <c r="H24" s="8" t="n">
        <v>276.9</v>
      </c>
    </row>
    <row r="25" customFormat="false" ht="15" hidden="false" customHeight="false" outlineLevel="0" collapsed="false">
      <c r="A25" s="6" t="s">
        <v>49</v>
      </c>
      <c r="B25" s="7" t="n">
        <v>56.108</v>
      </c>
      <c r="C25" s="7" t="n">
        <v>0.218</v>
      </c>
      <c r="D25" s="8" t="n">
        <v>428.6</v>
      </c>
      <c r="E25" s="9" t="n">
        <v>41</v>
      </c>
      <c r="F25" s="7" t="n">
        <v>0.275</v>
      </c>
      <c r="G25" s="8" t="n">
        <v>237.7</v>
      </c>
      <c r="H25" s="8" t="n">
        <v>274</v>
      </c>
    </row>
    <row r="26" customFormat="false" ht="15" hidden="false" customHeight="false" outlineLevel="0" collapsed="false">
      <c r="A26" s="6" t="s">
        <v>50</v>
      </c>
      <c r="B26" s="7" t="n">
        <v>84.161</v>
      </c>
      <c r="C26" s="7" t="n">
        <v>0.28</v>
      </c>
      <c r="D26" s="8" t="n">
        <v>504</v>
      </c>
      <c r="E26" s="9" t="n">
        <v>31.4</v>
      </c>
      <c r="F26" s="7" t="n">
        <v>0.265</v>
      </c>
      <c r="G26" s="8" t="n">
        <v>354</v>
      </c>
      <c r="H26" s="8" t="n">
        <v>336.3</v>
      </c>
    </row>
    <row r="27" customFormat="false" ht="15" hidden="false" customHeight="false" outlineLevel="0" collapsed="false">
      <c r="A27" s="6" t="s">
        <v>51</v>
      </c>
      <c r="B27" s="7" t="n">
        <v>56.108</v>
      </c>
      <c r="C27" s="7" t="n">
        <v>0.194</v>
      </c>
      <c r="D27" s="8" t="n">
        <v>417.9</v>
      </c>
      <c r="E27" s="9" t="n">
        <v>40</v>
      </c>
      <c r="F27" s="7" t="n">
        <v>0.275</v>
      </c>
      <c r="G27" s="8" t="n">
        <v>238.9</v>
      </c>
      <c r="H27" s="8" t="n">
        <v>266.3</v>
      </c>
    </row>
    <row r="28" customFormat="false" ht="15" hidden="false" customHeight="false" outlineLevel="0" collapsed="false">
      <c r="A28" s="6" t="s">
        <v>52</v>
      </c>
      <c r="B28" s="7" t="n">
        <v>54.092</v>
      </c>
      <c r="C28" s="7" t="n">
        <v>0.19</v>
      </c>
      <c r="D28" s="8" t="n">
        <v>425.2</v>
      </c>
      <c r="E28" s="9" t="n">
        <v>42.77</v>
      </c>
      <c r="F28" s="7" t="n">
        <v>0.267</v>
      </c>
      <c r="G28" s="8" t="n">
        <v>220.4</v>
      </c>
      <c r="H28" s="8" t="n">
        <v>268.7</v>
      </c>
    </row>
    <row r="29" customFormat="false" ht="15" hidden="false" customHeight="false" outlineLevel="0" collapsed="false">
      <c r="A29" s="6" t="s">
        <v>53</v>
      </c>
      <c r="B29" s="7" t="n">
        <v>82.145</v>
      </c>
      <c r="C29" s="7" t="n">
        <v>0.212</v>
      </c>
      <c r="D29" s="8" t="n">
        <v>560.4</v>
      </c>
      <c r="E29" s="9" t="n">
        <v>43.5</v>
      </c>
      <c r="F29" s="7" t="n">
        <v>0.272</v>
      </c>
      <c r="G29" s="8" t="n">
        <v>291</v>
      </c>
      <c r="H29" s="8" t="n">
        <v>356.1</v>
      </c>
    </row>
    <row r="30" customFormat="false" ht="15" hidden="false" customHeight="false" outlineLevel="0" collapsed="false">
      <c r="A30" s="6" t="s">
        <v>54</v>
      </c>
      <c r="B30" s="7" t="n">
        <v>26.038</v>
      </c>
      <c r="C30" s="7" t="n">
        <v>0.187</v>
      </c>
      <c r="D30" s="8" t="n">
        <v>308.3</v>
      </c>
      <c r="E30" s="9" t="n">
        <v>61.39</v>
      </c>
      <c r="F30" s="7" t="n">
        <v>0.271</v>
      </c>
      <c r="G30" s="8" t="n">
        <v>113</v>
      </c>
      <c r="H30" s="8" t="n">
        <v>189.4</v>
      </c>
    </row>
    <row r="31" customFormat="false" ht="15" hidden="false" customHeight="false" outlineLevel="0" collapsed="false">
      <c r="A31" s="6" t="s">
        <v>55</v>
      </c>
      <c r="B31" s="7" t="n">
        <v>78.114</v>
      </c>
      <c r="C31" s="7" t="n">
        <v>0.21</v>
      </c>
      <c r="D31" s="8" t="n">
        <v>562.2</v>
      </c>
      <c r="E31" s="9" t="n">
        <v>48.98</v>
      </c>
      <c r="F31" s="7" t="n">
        <v>0.271</v>
      </c>
      <c r="G31" s="8" t="n">
        <v>259</v>
      </c>
      <c r="H31" s="8" t="n">
        <v>353.2</v>
      </c>
    </row>
    <row r="32" customFormat="false" ht="15" hidden="false" customHeight="false" outlineLevel="0" collapsed="false">
      <c r="A32" s="6" t="s">
        <v>56</v>
      </c>
      <c r="B32" s="7" t="n">
        <v>92.141</v>
      </c>
      <c r="C32" s="7" t="n">
        <v>0.262</v>
      </c>
      <c r="D32" s="8" t="n">
        <v>591.8</v>
      </c>
      <c r="E32" s="9" t="n">
        <v>41.06</v>
      </c>
      <c r="F32" s="7" t="n">
        <v>0.264</v>
      </c>
      <c r="G32" s="8" t="n">
        <v>316</v>
      </c>
      <c r="H32" s="8" t="n">
        <v>383.8</v>
      </c>
    </row>
    <row r="33" customFormat="false" ht="15" hidden="false" customHeight="false" outlineLevel="0" collapsed="false">
      <c r="A33" s="6" t="s">
        <v>57</v>
      </c>
      <c r="B33" s="7" t="n">
        <v>106.167</v>
      </c>
      <c r="C33" s="7" t="n">
        <v>0.303</v>
      </c>
      <c r="D33" s="8" t="n">
        <v>617.2</v>
      </c>
      <c r="E33" s="9" t="n">
        <v>36.06</v>
      </c>
      <c r="F33" s="7" t="n">
        <v>0.263</v>
      </c>
      <c r="G33" s="8" t="n">
        <v>374</v>
      </c>
      <c r="H33" s="8" t="n">
        <v>409.4</v>
      </c>
    </row>
    <row r="34" customFormat="false" ht="15" hidden="false" customHeight="false" outlineLevel="0" collapsed="false">
      <c r="A34" s="6" t="s">
        <v>58</v>
      </c>
      <c r="B34" s="7" t="n">
        <v>120.194</v>
      </c>
      <c r="C34" s="7" t="n">
        <v>0.326</v>
      </c>
      <c r="D34" s="8" t="n">
        <v>631.1</v>
      </c>
      <c r="E34" s="9" t="n">
        <v>32.09</v>
      </c>
      <c r="F34" s="7" t="n">
        <v>0.261</v>
      </c>
      <c r="G34" s="8" t="n">
        <v>427</v>
      </c>
      <c r="H34" s="8" t="n">
        <v>425.6</v>
      </c>
    </row>
    <row r="35" customFormat="false" ht="15" hidden="false" customHeight="false" outlineLevel="0" collapsed="false">
      <c r="A35" s="6" t="s">
        <v>59</v>
      </c>
      <c r="B35" s="7" t="n">
        <v>106.167</v>
      </c>
      <c r="C35" s="7" t="n">
        <v>0.31</v>
      </c>
      <c r="D35" s="8" t="n">
        <v>630.3</v>
      </c>
      <c r="E35" s="9" t="n">
        <v>37.34</v>
      </c>
      <c r="F35" s="7" t="n">
        <v>0.263</v>
      </c>
      <c r="G35" s="8" t="n">
        <v>369</v>
      </c>
      <c r="H35" s="8" t="n">
        <v>417.6</v>
      </c>
    </row>
    <row r="36" customFormat="false" ht="15" hidden="false" customHeight="false" outlineLevel="0" collapsed="false">
      <c r="A36" s="6" t="s">
        <v>60</v>
      </c>
      <c r="B36" s="7" t="n">
        <v>106.167</v>
      </c>
      <c r="C36" s="7" t="n">
        <v>0.326</v>
      </c>
      <c r="D36" s="8" t="n">
        <v>617.1</v>
      </c>
      <c r="E36" s="9" t="n">
        <v>35.36</v>
      </c>
      <c r="F36" s="7" t="n">
        <v>0.259</v>
      </c>
      <c r="G36" s="8" t="n">
        <v>376</v>
      </c>
      <c r="H36" s="8" t="n">
        <v>412.3</v>
      </c>
    </row>
    <row r="37" customFormat="false" ht="15" hidden="false" customHeight="false" outlineLevel="0" collapsed="false">
      <c r="A37" s="6" t="s">
        <v>61</v>
      </c>
      <c r="B37" s="7" t="n">
        <v>106.167</v>
      </c>
      <c r="C37" s="7" t="n">
        <v>0.322</v>
      </c>
      <c r="D37" s="8" t="n">
        <v>616.2</v>
      </c>
      <c r="E37" s="9" t="n">
        <v>35.11</v>
      </c>
      <c r="F37" s="7" t="n">
        <v>0.26</v>
      </c>
      <c r="G37" s="8" t="n">
        <v>379</v>
      </c>
      <c r="H37" s="8" t="n">
        <v>411.5</v>
      </c>
    </row>
    <row r="38" customFormat="false" ht="15" hidden="false" customHeight="false" outlineLevel="0" collapsed="false">
      <c r="A38" s="6" t="s">
        <v>62</v>
      </c>
      <c r="B38" s="7" t="n">
        <v>104.152</v>
      </c>
      <c r="C38" s="7" t="n">
        <v>0.297</v>
      </c>
      <c r="D38" s="8" t="n">
        <v>636</v>
      </c>
      <c r="E38" s="9" t="n">
        <v>38.4</v>
      </c>
      <c r="F38" s="7" t="n">
        <v>0.256</v>
      </c>
      <c r="G38" s="8" t="n">
        <v>352</v>
      </c>
      <c r="H38" s="8" t="n">
        <v>418.3</v>
      </c>
    </row>
    <row r="39" customFormat="false" ht="15" hidden="false" customHeight="false" outlineLevel="0" collapsed="false">
      <c r="A39" s="6" t="s">
        <v>63</v>
      </c>
      <c r="B39" s="7" t="n">
        <v>128.174</v>
      </c>
      <c r="C39" s="7" t="n">
        <v>0.302</v>
      </c>
      <c r="D39" s="8" t="n">
        <v>748.4</v>
      </c>
      <c r="E39" s="9" t="n">
        <v>40.51</v>
      </c>
      <c r="F39" s="7" t="n">
        <v>0.269</v>
      </c>
      <c r="G39" s="8" t="n">
        <v>413</v>
      </c>
      <c r="H39" s="8" t="n">
        <v>491.2</v>
      </c>
    </row>
    <row r="40" customFormat="false" ht="15" hidden="false" customHeight="false" outlineLevel="0" collapsed="false">
      <c r="A40" s="6" t="s">
        <v>64</v>
      </c>
      <c r="B40" s="7" t="n">
        <v>154.211</v>
      </c>
      <c r="C40" s="7" t="n">
        <v>0.365</v>
      </c>
      <c r="D40" s="8" t="n">
        <v>789.3</v>
      </c>
      <c r="E40" s="9" t="n">
        <v>38.5</v>
      </c>
      <c r="F40" s="7" t="n">
        <v>0.295</v>
      </c>
      <c r="G40" s="8" t="n">
        <v>502</v>
      </c>
      <c r="H40" s="8" t="n">
        <v>528.2</v>
      </c>
    </row>
    <row r="41" customFormat="false" ht="15" hidden="false" customHeight="false" outlineLevel="0" collapsed="false">
      <c r="A41" s="6" t="s">
        <v>65</v>
      </c>
      <c r="B41" s="7" t="n">
        <v>30.026</v>
      </c>
      <c r="C41" s="7" t="n">
        <v>0.282</v>
      </c>
      <c r="D41" s="8" t="n">
        <v>408</v>
      </c>
      <c r="E41" s="9" t="n">
        <v>65.9</v>
      </c>
      <c r="F41" s="7" t="n">
        <v>0.223</v>
      </c>
      <c r="G41" s="8" t="n">
        <v>115</v>
      </c>
      <c r="H41" s="8" t="n">
        <v>254.1</v>
      </c>
    </row>
    <row r="42" customFormat="false" ht="15" hidden="false" customHeight="false" outlineLevel="0" collapsed="false">
      <c r="A42" s="6" t="s">
        <v>66</v>
      </c>
      <c r="B42" s="7" t="n">
        <v>44.053</v>
      </c>
      <c r="C42" s="7" t="n">
        <v>0.291</v>
      </c>
      <c r="D42" s="8" t="n">
        <v>466</v>
      </c>
      <c r="E42" s="9" t="n">
        <v>55.5</v>
      </c>
      <c r="F42" s="7" t="n">
        <v>0.221</v>
      </c>
      <c r="G42" s="8" t="n">
        <v>154</v>
      </c>
      <c r="H42" s="8" t="n">
        <v>294</v>
      </c>
    </row>
    <row r="43" customFormat="false" ht="15" hidden="false" customHeight="false" outlineLevel="0" collapsed="false">
      <c r="A43" s="6" t="s">
        <v>67</v>
      </c>
      <c r="B43" s="7" t="n">
        <v>74.079</v>
      </c>
      <c r="C43" s="7" t="n">
        <v>0.331</v>
      </c>
      <c r="D43" s="8" t="n">
        <v>506.6</v>
      </c>
      <c r="E43" s="9" t="n">
        <v>47.5</v>
      </c>
      <c r="F43" s="7" t="n">
        <v>0.257</v>
      </c>
      <c r="G43" s="8" t="n">
        <v>228</v>
      </c>
      <c r="H43" s="8" t="n">
        <v>330.1</v>
      </c>
    </row>
    <row r="44" customFormat="false" ht="15" hidden="false" customHeight="false" outlineLevel="0" collapsed="false">
      <c r="A44" s="6" t="s">
        <v>68</v>
      </c>
      <c r="B44" s="7" t="n">
        <v>88.106</v>
      </c>
      <c r="C44" s="7" t="n">
        <v>0.366</v>
      </c>
      <c r="D44" s="8" t="n">
        <v>523.3</v>
      </c>
      <c r="E44" s="9" t="n">
        <v>38.8</v>
      </c>
      <c r="F44" s="7" t="n">
        <v>0.255</v>
      </c>
      <c r="G44" s="8" t="n">
        <v>286</v>
      </c>
      <c r="H44" s="8" t="n">
        <v>350.2</v>
      </c>
    </row>
    <row r="45" customFormat="false" ht="15" hidden="false" customHeight="false" outlineLevel="0" collapsed="false">
      <c r="A45" s="6" t="s">
        <v>69</v>
      </c>
      <c r="B45" s="7" t="n">
        <v>58.08</v>
      </c>
      <c r="C45" s="7" t="n">
        <v>0.307</v>
      </c>
      <c r="D45" s="8" t="n">
        <v>508.2</v>
      </c>
      <c r="E45" s="9" t="n">
        <v>47.01</v>
      </c>
      <c r="F45" s="7" t="n">
        <v>0.233</v>
      </c>
      <c r="G45" s="8" t="n">
        <v>209</v>
      </c>
      <c r="H45" s="8" t="n">
        <v>329.4</v>
      </c>
    </row>
    <row r="46" customFormat="false" ht="15" hidden="false" customHeight="false" outlineLevel="0" collapsed="false">
      <c r="A46" s="6" t="s">
        <v>70</v>
      </c>
      <c r="B46" s="7" t="n">
        <v>72.107</v>
      </c>
      <c r="C46" s="7" t="n">
        <v>0.323</v>
      </c>
      <c r="D46" s="8" t="n">
        <v>535.5</v>
      </c>
      <c r="E46" s="9" t="n">
        <v>41.5</v>
      </c>
      <c r="F46" s="7" t="n">
        <v>0.249</v>
      </c>
      <c r="G46" s="8" t="n">
        <v>267</v>
      </c>
      <c r="H46" s="8" t="n">
        <v>352.8</v>
      </c>
    </row>
    <row r="47" customFormat="false" ht="15" hidden="false" customHeight="false" outlineLevel="0" collapsed="false">
      <c r="A47" s="6" t="s">
        <v>71</v>
      </c>
      <c r="B47" s="7" t="n">
        <v>74.123</v>
      </c>
      <c r="C47" s="7" t="n">
        <v>0.281</v>
      </c>
      <c r="D47" s="8" t="n">
        <v>466.7</v>
      </c>
      <c r="E47" s="9" t="n">
        <v>36.4</v>
      </c>
      <c r="F47" s="7" t="n">
        <v>0.263</v>
      </c>
      <c r="G47" s="8" t="n">
        <v>280</v>
      </c>
      <c r="H47" s="8" t="n">
        <v>307.6</v>
      </c>
    </row>
    <row r="48" customFormat="false" ht="15" hidden="false" customHeight="false" outlineLevel="0" collapsed="false">
      <c r="A48" s="6" t="s">
        <v>72</v>
      </c>
      <c r="B48" s="7" t="n">
        <v>88.15</v>
      </c>
      <c r="C48" s="7" t="n">
        <v>0.266</v>
      </c>
      <c r="D48" s="8" t="n">
        <v>497.1</v>
      </c>
      <c r="E48" s="9" t="n">
        <v>34.3</v>
      </c>
      <c r="F48" s="7" t="n">
        <v>0.273</v>
      </c>
      <c r="G48" s="8" t="n">
        <v>329</v>
      </c>
      <c r="H48" s="8" t="n">
        <v>328.4</v>
      </c>
    </row>
    <row r="49" customFormat="false" ht="15" hidden="false" customHeight="false" outlineLevel="0" collapsed="false">
      <c r="A49" s="6" t="s">
        <v>73</v>
      </c>
      <c r="B49" s="7" t="n">
        <v>32.042</v>
      </c>
      <c r="C49" s="7" t="n">
        <v>0.564</v>
      </c>
      <c r="D49" s="8" t="n">
        <v>512.6</v>
      </c>
      <c r="E49" s="9" t="n">
        <v>80.97</v>
      </c>
      <c r="F49" s="7" t="n">
        <v>0.224</v>
      </c>
      <c r="G49" s="8" t="n">
        <v>118</v>
      </c>
      <c r="H49" s="8" t="n">
        <v>337.9</v>
      </c>
    </row>
    <row r="50" customFormat="false" ht="15" hidden="false" customHeight="false" outlineLevel="0" collapsed="false">
      <c r="A50" s="6" t="s">
        <v>74</v>
      </c>
      <c r="B50" s="7" t="n">
        <v>46.069</v>
      </c>
      <c r="C50" s="7" t="n">
        <v>0.645</v>
      </c>
      <c r="D50" s="8" t="n">
        <v>513.9</v>
      </c>
      <c r="E50" s="9" t="n">
        <v>61.48</v>
      </c>
      <c r="F50" s="7" t="n">
        <v>0.24</v>
      </c>
      <c r="G50" s="8" t="n">
        <v>167</v>
      </c>
      <c r="H50" s="8" t="n">
        <v>351.4</v>
      </c>
    </row>
    <row r="51" customFormat="false" ht="15" hidden="false" customHeight="false" outlineLevel="0" collapsed="false">
      <c r="A51" s="6" t="s">
        <v>75</v>
      </c>
      <c r="B51" s="7" t="n">
        <v>60.096</v>
      </c>
      <c r="C51" s="7" t="n">
        <v>0.622</v>
      </c>
      <c r="D51" s="8" t="n">
        <v>536.8</v>
      </c>
      <c r="E51" s="9" t="n">
        <v>51.75</v>
      </c>
      <c r="F51" s="7" t="n">
        <v>0.254</v>
      </c>
      <c r="G51" s="8" t="n">
        <v>219</v>
      </c>
      <c r="H51" s="8" t="n">
        <v>370.4</v>
      </c>
    </row>
    <row r="52" customFormat="false" ht="15" hidden="false" customHeight="false" outlineLevel="0" collapsed="false">
      <c r="A52" s="6" t="s">
        <v>76</v>
      </c>
      <c r="B52" s="7" t="n">
        <v>74.123</v>
      </c>
      <c r="C52" s="7" t="n">
        <v>0.594</v>
      </c>
      <c r="D52" s="8" t="n">
        <v>563.1</v>
      </c>
      <c r="E52" s="9" t="n">
        <v>44.23</v>
      </c>
      <c r="F52" s="7" t="n">
        <v>0.26</v>
      </c>
      <c r="G52" s="8" t="n">
        <v>275</v>
      </c>
      <c r="H52" s="8" t="n">
        <v>390.8</v>
      </c>
    </row>
    <row r="53" customFormat="false" ht="15" hidden="false" customHeight="false" outlineLevel="0" collapsed="false">
      <c r="A53" s="6" t="s">
        <v>77</v>
      </c>
      <c r="B53" s="7" t="n">
        <v>102.177</v>
      </c>
      <c r="C53" s="7" t="n">
        <v>0.579</v>
      </c>
      <c r="D53" s="8" t="n">
        <v>611.4</v>
      </c>
      <c r="E53" s="9" t="n">
        <v>35.1</v>
      </c>
      <c r="F53" s="7" t="n">
        <v>0.263</v>
      </c>
      <c r="G53" s="8" t="n">
        <v>381</v>
      </c>
      <c r="H53" s="8" t="n">
        <v>430.6</v>
      </c>
    </row>
    <row r="54" customFormat="false" ht="15" hidden="false" customHeight="false" outlineLevel="0" collapsed="false">
      <c r="A54" s="6" t="s">
        <v>78</v>
      </c>
      <c r="B54" s="7" t="n">
        <v>60.096</v>
      </c>
      <c r="C54" s="7" t="n">
        <v>0.668</v>
      </c>
      <c r="D54" s="8" t="n">
        <v>508.3</v>
      </c>
      <c r="E54" s="9" t="n">
        <v>47.62</v>
      </c>
      <c r="F54" s="7" t="n">
        <v>0.248</v>
      </c>
      <c r="G54" s="8" t="n">
        <v>220</v>
      </c>
      <c r="H54" s="8" t="n">
        <v>355.4</v>
      </c>
    </row>
    <row r="55" customFormat="false" ht="15" hidden="false" customHeight="false" outlineLevel="0" collapsed="false">
      <c r="A55" s="6" t="s">
        <v>79</v>
      </c>
      <c r="B55" s="7" t="n">
        <v>94.113</v>
      </c>
      <c r="C55" s="7" t="n">
        <v>0.444</v>
      </c>
      <c r="D55" s="8" t="n">
        <v>694.3</v>
      </c>
      <c r="E55" s="9" t="n">
        <v>61.3</v>
      </c>
      <c r="F55" s="7" t="n">
        <v>0.243</v>
      </c>
      <c r="G55" s="8" t="n">
        <v>229</v>
      </c>
      <c r="H55" s="8" t="n">
        <v>455</v>
      </c>
    </row>
    <row r="56" customFormat="false" ht="15" hidden="false" customHeight="false" outlineLevel="0" collapsed="false">
      <c r="A56" s="6" t="s">
        <v>80</v>
      </c>
      <c r="B56" s="7" t="n">
        <v>62.068</v>
      </c>
      <c r="C56" s="7" t="n">
        <v>0.487</v>
      </c>
      <c r="D56" s="8" t="n">
        <v>719.7</v>
      </c>
      <c r="E56" s="9" t="n">
        <v>77</v>
      </c>
      <c r="F56" s="7" t="n">
        <v>0.246</v>
      </c>
      <c r="G56" s="8" t="n">
        <v>191</v>
      </c>
      <c r="H56" s="8" t="n">
        <v>470.5</v>
      </c>
    </row>
    <row r="57" customFormat="false" ht="15" hidden="false" customHeight="false" outlineLevel="0" collapsed="false">
      <c r="A57" s="6" t="s">
        <v>81</v>
      </c>
      <c r="B57" s="7" t="n">
        <v>60.053</v>
      </c>
      <c r="C57" s="7" t="n">
        <v>0.467</v>
      </c>
      <c r="D57" s="8" t="n">
        <v>592</v>
      </c>
      <c r="E57" s="9" t="n">
        <v>57.86</v>
      </c>
      <c r="F57" s="7" t="n">
        <v>0.211</v>
      </c>
      <c r="G57" s="8" t="n">
        <v>179.7</v>
      </c>
      <c r="H57" s="8" t="n">
        <v>391.1</v>
      </c>
    </row>
    <row r="58" customFormat="false" ht="15" hidden="false" customHeight="false" outlineLevel="0" collapsed="false">
      <c r="A58" s="6" t="s">
        <v>82</v>
      </c>
      <c r="B58" s="7" t="n">
        <v>88.106</v>
      </c>
      <c r="C58" s="7" t="n">
        <v>0.681</v>
      </c>
      <c r="D58" s="8" t="n">
        <v>615.7</v>
      </c>
      <c r="E58" s="9" t="n">
        <v>40.64</v>
      </c>
      <c r="F58" s="7" t="n">
        <v>0.232</v>
      </c>
      <c r="G58" s="8" t="n">
        <v>291.7</v>
      </c>
      <c r="H58" s="8" t="n">
        <v>436.4</v>
      </c>
    </row>
    <row r="59" customFormat="false" ht="15" hidden="false" customHeight="false" outlineLevel="0" collapsed="false">
      <c r="A59" s="6" t="s">
        <v>83</v>
      </c>
      <c r="B59" s="7" t="n">
        <v>122.123</v>
      </c>
      <c r="C59" s="7" t="n">
        <v>0.603</v>
      </c>
      <c r="D59" s="8" t="n">
        <v>751</v>
      </c>
      <c r="E59" s="9" t="n">
        <v>44.7</v>
      </c>
      <c r="F59" s="7" t="n">
        <v>0.246</v>
      </c>
      <c r="G59" s="8" t="n">
        <v>344</v>
      </c>
      <c r="H59" s="8" t="n">
        <v>522.4</v>
      </c>
    </row>
    <row r="60" customFormat="false" ht="15" hidden="false" customHeight="false" outlineLevel="0" collapsed="false">
      <c r="A60" s="6" t="s">
        <v>84</v>
      </c>
      <c r="B60" s="7" t="n">
        <v>41.053</v>
      </c>
      <c r="C60" s="7" t="n">
        <v>0.338</v>
      </c>
      <c r="D60" s="8" t="n">
        <v>545.5</v>
      </c>
      <c r="E60" s="9" t="n">
        <v>48.3</v>
      </c>
      <c r="F60" s="7" t="n">
        <v>0.184</v>
      </c>
      <c r="G60" s="8" t="n">
        <v>173</v>
      </c>
      <c r="H60" s="8" t="n">
        <v>354.8</v>
      </c>
    </row>
    <row r="61" customFormat="false" ht="15" hidden="false" customHeight="false" outlineLevel="0" collapsed="false">
      <c r="A61" s="6" t="s">
        <v>85</v>
      </c>
      <c r="B61" s="7" t="n">
        <v>31.057</v>
      </c>
      <c r="C61" s="7" t="n">
        <v>0.281</v>
      </c>
      <c r="D61" s="8" t="n">
        <v>430.1</v>
      </c>
      <c r="E61" s="9" t="n">
        <v>74.6</v>
      </c>
      <c r="F61" s="7" t="n">
        <v>0.321</v>
      </c>
      <c r="G61" s="8" t="n">
        <v>154</v>
      </c>
      <c r="H61" s="8" t="n">
        <v>266.8</v>
      </c>
    </row>
    <row r="62" customFormat="false" ht="15" hidden="false" customHeight="false" outlineLevel="0" collapsed="false">
      <c r="A62" s="6" t="s">
        <v>86</v>
      </c>
      <c r="B62" s="7" t="n">
        <v>45.084</v>
      </c>
      <c r="C62" s="7" t="n">
        <v>0.285</v>
      </c>
      <c r="D62" s="8" t="n">
        <v>456.2</v>
      </c>
      <c r="E62" s="9" t="n">
        <v>56.2</v>
      </c>
      <c r="F62" s="7" t="n">
        <v>0.307</v>
      </c>
      <c r="G62" s="8" t="n">
        <v>207</v>
      </c>
      <c r="H62" s="8" t="n">
        <v>289.7</v>
      </c>
    </row>
    <row r="63" customFormat="false" ht="15" hidden="false" customHeight="false" outlineLevel="0" collapsed="false">
      <c r="A63" s="6" t="s">
        <v>87</v>
      </c>
      <c r="B63" s="7" t="n">
        <v>61.04</v>
      </c>
      <c r="C63" s="7" t="n">
        <v>0.348</v>
      </c>
      <c r="D63" s="8" t="n">
        <v>588.2</v>
      </c>
      <c r="E63" s="9" t="n">
        <v>63.1</v>
      </c>
      <c r="F63" s="7" t="n">
        <v>0.223</v>
      </c>
      <c r="G63" s="8" t="n">
        <v>173</v>
      </c>
      <c r="H63" s="8" t="n">
        <v>374.4</v>
      </c>
    </row>
    <row r="64" customFormat="false" ht="15" hidden="false" customHeight="false" outlineLevel="0" collapsed="false">
      <c r="A64" s="6" t="s">
        <v>88</v>
      </c>
      <c r="B64" s="7" t="n">
        <v>153.822</v>
      </c>
      <c r="C64" s="7" t="n">
        <v>0.193</v>
      </c>
      <c r="D64" s="8" t="n">
        <v>556.4</v>
      </c>
      <c r="E64" s="9" t="n">
        <v>45.6</v>
      </c>
      <c r="F64" s="7" t="n">
        <v>0.272</v>
      </c>
      <c r="G64" s="8" t="n">
        <v>276</v>
      </c>
      <c r="H64" s="8" t="n">
        <v>349.8</v>
      </c>
    </row>
    <row r="65" customFormat="false" ht="15" hidden="false" customHeight="false" outlineLevel="0" collapsed="false">
      <c r="A65" s="6" t="s">
        <v>89</v>
      </c>
      <c r="B65" s="7" t="n">
        <v>119.377</v>
      </c>
      <c r="C65" s="7" t="n">
        <v>0.222</v>
      </c>
      <c r="D65" s="8" t="n">
        <v>536.4</v>
      </c>
      <c r="E65" s="9" t="n">
        <v>54.72</v>
      </c>
      <c r="F65" s="7" t="n">
        <v>0.293</v>
      </c>
      <c r="G65" s="8" t="n">
        <v>239</v>
      </c>
      <c r="H65" s="8" t="n">
        <v>334.3</v>
      </c>
    </row>
    <row r="66" customFormat="false" ht="15" hidden="false" customHeight="false" outlineLevel="0" collapsed="false">
      <c r="A66" s="6" t="s">
        <v>90</v>
      </c>
      <c r="B66" s="7" t="n">
        <v>84.932</v>
      </c>
      <c r="C66" s="7" t="n">
        <v>0.199</v>
      </c>
      <c r="D66" s="8" t="n">
        <v>510</v>
      </c>
      <c r="E66" s="9" t="n">
        <v>60.8</v>
      </c>
      <c r="F66" s="7" t="n">
        <v>0.265</v>
      </c>
      <c r="G66" s="8" t="n">
        <v>185</v>
      </c>
      <c r="H66" s="8" t="n">
        <v>312.9</v>
      </c>
    </row>
    <row r="67" customFormat="false" ht="15" hidden="false" customHeight="false" outlineLevel="0" collapsed="false">
      <c r="A67" s="6" t="s">
        <v>91</v>
      </c>
      <c r="B67" s="7" t="n">
        <v>50.488</v>
      </c>
      <c r="C67" s="7" t="n">
        <v>0.153</v>
      </c>
      <c r="D67" s="8" t="n">
        <v>416.3</v>
      </c>
      <c r="E67" s="9" t="n">
        <v>66.8</v>
      </c>
      <c r="F67" s="7" t="n">
        <v>0.276</v>
      </c>
      <c r="G67" s="8" t="n">
        <v>143</v>
      </c>
      <c r="H67" s="8" t="n">
        <v>249.1</v>
      </c>
    </row>
    <row r="68" customFormat="false" ht="15" hidden="false" customHeight="false" outlineLevel="0" collapsed="false">
      <c r="A68" s="6" t="s">
        <v>92</v>
      </c>
      <c r="B68" s="7" t="n">
        <v>64.514</v>
      </c>
      <c r="C68" s="7" t="n">
        <v>0.19</v>
      </c>
      <c r="D68" s="8" t="n">
        <v>460.4</v>
      </c>
      <c r="E68" s="9" t="n">
        <v>52.7</v>
      </c>
      <c r="F68" s="7" t="n">
        <v>0.275</v>
      </c>
      <c r="G68" s="8" t="n">
        <v>200</v>
      </c>
      <c r="H68" s="8" t="n">
        <v>285.4</v>
      </c>
    </row>
    <row r="69" customFormat="false" ht="15" hidden="false" customHeight="false" outlineLevel="0" collapsed="false">
      <c r="A69" s="6" t="s">
        <v>93</v>
      </c>
      <c r="B69" s="7" t="n">
        <v>112.558</v>
      </c>
      <c r="C69" s="7" t="n">
        <v>0.25</v>
      </c>
      <c r="D69" s="8" t="n">
        <v>632.4</v>
      </c>
      <c r="E69" s="9" t="n">
        <v>45.2</v>
      </c>
      <c r="F69" s="7" t="n">
        <v>0.265</v>
      </c>
      <c r="G69" s="8" t="n">
        <v>308</v>
      </c>
      <c r="H69" s="8" t="n">
        <v>404.9</v>
      </c>
    </row>
    <row r="70" customFormat="false" ht="15" hidden="false" customHeight="false" outlineLevel="0" collapsed="false">
      <c r="A70" s="6" t="s">
        <v>94</v>
      </c>
      <c r="B70" s="7" t="n">
        <v>102.03</v>
      </c>
      <c r="C70" s="7" t="n">
        <v>0.327</v>
      </c>
      <c r="D70" s="8" t="n">
        <v>374.2</v>
      </c>
      <c r="E70" s="9" t="n">
        <v>40.6</v>
      </c>
      <c r="F70" s="7" t="n">
        <v>0.258</v>
      </c>
      <c r="G70" s="8" t="n">
        <v>198</v>
      </c>
      <c r="H70" s="8" t="n">
        <v>247.1</v>
      </c>
    </row>
    <row r="71" customFormat="false" ht="15" hidden="false" customHeight="false" outlineLevel="0" collapsed="false">
      <c r="A71" s="6" t="s">
        <v>95</v>
      </c>
      <c r="B71" s="7" t="n">
        <v>39.948</v>
      </c>
      <c r="C71" s="7" t="n">
        <v>0</v>
      </c>
      <c r="D71" s="8" t="n">
        <v>150.9</v>
      </c>
      <c r="E71" s="9" t="n">
        <v>48.98</v>
      </c>
      <c r="F71" s="7" t="n">
        <v>0.291</v>
      </c>
      <c r="G71" s="8" t="n">
        <v>74.6</v>
      </c>
      <c r="H71" s="8" t="n">
        <v>87.3</v>
      </c>
    </row>
    <row r="72" customFormat="false" ht="15" hidden="false" customHeight="false" outlineLevel="0" collapsed="false">
      <c r="A72" s="6" t="s">
        <v>96</v>
      </c>
      <c r="B72" s="7" t="n">
        <v>83.8</v>
      </c>
      <c r="C72" s="7" t="n">
        <v>0</v>
      </c>
      <c r="D72" s="8" t="n">
        <v>209.4</v>
      </c>
      <c r="E72" s="9" t="n">
        <v>55.02</v>
      </c>
      <c r="F72" s="7" t="n">
        <v>0.288</v>
      </c>
      <c r="G72" s="8" t="n">
        <v>91.2</v>
      </c>
      <c r="H72" s="8" t="n">
        <v>119.8</v>
      </c>
    </row>
    <row r="73" customFormat="false" ht="15" hidden="false" customHeight="false" outlineLevel="0" collapsed="false">
      <c r="A73" s="6" t="s">
        <v>97</v>
      </c>
      <c r="B73" s="7" t="n">
        <v>131.3</v>
      </c>
      <c r="C73" s="7" t="n">
        <v>0</v>
      </c>
      <c r="D73" s="8" t="n">
        <v>289.7</v>
      </c>
      <c r="E73" s="9" t="n">
        <v>58.4</v>
      </c>
      <c r="F73" s="7" t="n">
        <v>0.286</v>
      </c>
      <c r="G73" s="8" t="n">
        <v>118</v>
      </c>
      <c r="H73" s="8" t="n">
        <v>165</v>
      </c>
    </row>
    <row r="74" customFormat="false" ht="15" hidden="false" customHeight="false" outlineLevel="0" collapsed="false">
      <c r="A74" s="6" t="s">
        <v>98</v>
      </c>
      <c r="B74" s="7" t="n">
        <v>4.003</v>
      </c>
      <c r="C74" s="7" t="n">
        <v>-0.39</v>
      </c>
      <c r="D74" s="8" t="n">
        <v>5.2</v>
      </c>
      <c r="E74" s="9" t="n">
        <v>2.28</v>
      </c>
      <c r="F74" s="7" t="n">
        <v>0.302</v>
      </c>
      <c r="G74" s="8" t="n">
        <v>57.3</v>
      </c>
      <c r="H74" s="8" t="n">
        <v>4.2</v>
      </c>
    </row>
    <row r="75" customFormat="false" ht="15" hidden="false" customHeight="false" outlineLevel="0" collapsed="false">
      <c r="A75" s="6" t="s">
        <v>99</v>
      </c>
      <c r="B75" s="7" t="n">
        <v>2.016</v>
      </c>
      <c r="C75" s="7" t="n">
        <v>-0.216</v>
      </c>
      <c r="D75" s="8" t="n">
        <v>33.19</v>
      </c>
      <c r="E75" s="9" t="n">
        <v>13.13</v>
      </c>
      <c r="F75" s="7" t="n">
        <v>0.305</v>
      </c>
      <c r="G75" s="8" t="n">
        <v>64.1</v>
      </c>
      <c r="H75" s="8" t="n">
        <v>20.4</v>
      </c>
    </row>
    <row r="76" customFormat="false" ht="15" hidden="false" customHeight="false" outlineLevel="0" collapsed="false">
      <c r="A76" s="6" t="s">
        <v>100</v>
      </c>
      <c r="B76" s="7" t="n">
        <v>31.999</v>
      </c>
      <c r="C76" s="7" t="n">
        <v>0.022</v>
      </c>
      <c r="D76" s="8" t="n">
        <v>154.6</v>
      </c>
      <c r="E76" s="9" t="n">
        <v>50.43</v>
      </c>
      <c r="F76" s="7" t="n">
        <v>0.288</v>
      </c>
      <c r="G76" s="8" t="n">
        <v>73.4</v>
      </c>
      <c r="H76" s="8" t="n">
        <v>90.2</v>
      </c>
    </row>
    <row r="77" customFormat="false" ht="15" hidden="false" customHeight="false" outlineLevel="0" collapsed="false">
      <c r="A77" s="6" t="s">
        <v>101</v>
      </c>
      <c r="B77" s="7" t="n">
        <v>28.014</v>
      </c>
      <c r="C77" s="7" t="n">
        <v>0.038</v>
      </c>
      <c r="D77" s="8" t="n">
        <v>126.2</v>
      </c>
      <c r="E77" s="9" t="n">
        <v>34</v>
      </c>
      <c r="F77" s="7" t="n">
        <v>0.289</v>
      </c>
      <c r="G77" s="8" t="n">
        <v>89.2</v>
      </c>
      <c r="H77" s="8" t="n">
        <v>77.3</v>
      </c>
    </row>
    <row r="78" customFormat="false" ht="15" hidden="false" customHeight="false" outlineLevel="0" collapsed="false">
      <c r="A78" s="6" t="s">
        <v>102</v>
      </c>
      <c r="B78" s="7" t="n">
        <v>28.851</v>
      </c>
      <c r="C78" s="7" t="n">
        <v>0.035</v>
      </c>
      <c r="D78" s="8" t="n">
        <v>132.2</v>
      </c>
      <c r="E78" s="9" t="n">
        <v>37.45</v>
      </c>
      <c r="F78" s="7" t="n">
        <v>0.289</v>
      </c>
      <c r="G78" s="8" t="n">
        <v>84.8</v>
      </c>
      <c r="H78" s="8"/>
    </row>
    <row r="79" customFormat="false" ht="15" hidden="false" customHeight="false" outlineLevel="0" collapsed="false">
      <c r="A79" s="6" t="s">
        <v>103</v>
      </c>
      <c r="B79" s="7" t="n">
        <v>70.905</v>
      </c>
      <c r="C79" s="7" t="n">
        <v>0.069</v>
      </c>
      <c r="D79" s="8" t="n">
        <v>417.2</v>
      </c>
      <c r="E79" s="9" t="n">
        <v>77.1</v>
      </c>
      <c r="F79" s="7" t="n">
        <v>0.265</v>
      </c>
      <c r="G79" s="8" t="n">
        <v>124</v>
      </c>
      <c r="H79" s="8" t="n">
        <v>239.1</v>
      </c>
    </row>
    <row r="80" customFormat="false" ht="15" hidden="false" customHeight="false" outlineLevel="0" collapsed="false">
      <c r="A80" s="6" t="s">
        <v>104</v>
      </c>
      <c r="B80" s="7" t="n">
        <v>28.01</v>
      </c>
      <c r="C80" s="7" t="n">
        <v>0.048</v>
      </c>
      <c r="D80" s="8" t="n">
        <v>132.9</v>
      </c>
      <c r="E80" s="9" t="n">
        <v>34.99</v>
      </c>
      <c r="F80" s="7" t="n">
        <v>0.299</v>
      </c>
      <c r="G80" s="8" t="n">
        <v>93.4</v>
      </c>
      <c r="H80" s="8" t="n">
        <v>81.7</v>
      </c>
    </row>
    <row r="81" customFormat="false" ht="15" hidden="false" customHeight="false" outlineLevel="0" collapsed="false">
      <c r="A81" s="6" t="s">
        <v>105</v>
      </c>
      <c r="B81" s="7" t="n">
        <v>44.01</v>
      </c>
      <c r="C81" s="7" t="n">
        <v>0.224</v>
      </c>
      <c r="D81" s="8" t="n">
        <v>304.2</v>
      </c>
      <c r="E81" s="9" t="n">
        <v>73.83</v>
      </c>
      <c r="F81" s="7" t="n">
        <v>0.274</v>
      </c>
      <c r="G81" s="8" t="n">
        <v>94</v>
      </c>
      <c r="H81" s="8"/>
    </row>
    <row r="82" customFormat="false" ht="15" hidden="false" customHeight="false" outlineLevel="0" collapsed="false">
      <c r="A82" s="6" t="s">
        <v>106</v>
      </c>
      <c r="B82" s="7" t="n">
        <v>76.143</v>
      </c>
      <c r="C82" s="7" t="n">
        <v>0.111</v>
      </c>
      <c r="D82" s="8" t="n">
        <v>552</v>
      </c>
      <c r="E82" s="9" t="n">
        <v>79</v>
      </c>
      <c r="F82" s="7" t="n">
        <v>0.275</v>
      </c>
      <c r="G82" s="8" t="n">
        <v>160</v>
      </c>
      <c r="H82" s="8" t="n">
        <v>319.4</v>
      </c>
    </row>
    <row r="83" customFormat="false" ht="15" hidden="false" customHeight="false" outlineLevel="0" collapsed="false">
      <c r="A83" s="6" t="s">
        <v>107</v>
      </c>
      <c r="B83" s="7" t="n">
        <v>34.082</v>
      </c>
      <c r="C83" s="7" t="n">
        <v>0.094</v>
      </c>
      <c r="D83" s="8" t="n">
        <v>373.5</v>
      </c>
      <c r="E83" s="9" t="n">
        <v>89.63</v>
      </c>
      <c r="F83" s="7" t="n">
        <v>0.284</v>
      </c>
      <c r="G83" s="8" t="n">
        <v>98.5</v>
      </c>
      <c r="H83" s="8" t="n">
        <v>212.8</v>
      </c>
    </row>
    <row r="84" customFormat="false" ht="15" hidden="false" customHeight="false" outlineLevel="0" collapsed="false">
      <c r="A84" s="6" t="s">
        <v>108</v>
      </c>
      <c r="B84" s="7" t="n">
        <v>64.065</v>
      </c>
      <c r="C84" s="7" t="n">
        <v>0.245</v>
      </c>
      <c r="D84" s="8" t="n">
        <v>430.8</v>
      </c>
      <c r="E84" s="9" t="n">
        <v>78.84</v>
      </c>
      <c r="F84" s="7" t="n">
        <v>0.269</v>
      </c>
      <c r="G84" s="8" t="n">
        <v>122</v>
      </c>
      <c r="H84" s="8" t="n">
        <v>263.1</v>
      </c>
    </row>
    <row r="85" customFormat="false" ht="15" hidden="false" customHeight="false" outlineLevel="0" collapsed="false">
      <c r="A85" s="6" t="s">
        <v>109</v>
      </c>
      <c r="B85" s="7" t="n">
        <v>80.064</v>
      </c>
      <c r="C85" s="7" t="n">
        <v>0.424</v>
      </c>
      <c r="D85" s="8" t="n">
        <v>490.9</v>
      </c>
      <c r="E85" s="9" t="n">
        <v>82.1</v>
      </c>
      <c r="F85" s="7" t="n">
        <v>0.255</v>
      </c>
      <c r="G85" s="8" t="n">
        <v>127</v>
      </c>
      <c r="H85" s="8" t="n">
        <v>317.9</v>
      </c>
    </row>
    <row r="86" customFormat="false" ht="15" hidden="false" customHeight="false" outlineLevel="0" collapsed="false">
      <c r="A86" s="6" t="s">
        <v>110</v>
      </c>
      <c r="B86" s="7" t="n">
        <v>30.006</v>
      </c>
      <c r="C86" s="7" t="n">
        <v>0.583</v>
      </c>
      <c r="D86" s="8" t="n">
        <v>180.2</v>
      </c>
      <c r="E86" s="9" t="n">
        <v>64.8</v>
      </c>
      <c r="F86" s="7" t="n">
        <v>0.251</v>
      </c>
      <c r="G86" s="8" t="n">
        <v>58</v>
      </c>
      <c r="H86" s="8" t="n">
        <v>121.4</v>
      </c>
    </row>
    <row r="87" customFormat="false" ht="15" hidden="false" customHeight="false" outlineLevel="0" collapsed="false">
      <c r="A87" s="6" t="s">
        <v>111</v>
      </c>
      <c r="B87" s="7" t="n">
        <v>44.013</v>
      </c>
      <c r="C87" s="7" t="n">
        <v>0.141</v>
      </c>
      <c r="D87" s="8" t="n">
        <v>309.6</v>
      </c>
      <c r="E87" s="9" t="n">
        <v>72.45</v>
      </c>
      <c r="F87" s="7" t="n">
        <v>0.274</v>
      </c>
      <c r="G87" s="8" t="n">
        <v>97.4</v>
      </c>
      <c r="H87" s="8" t="n">
        <v>184.7</v>
      </c>
    </row>
    <row r="88" customFormat="false" ht="15" hidden="false" customHeight="false" outlineLevel="0" collapsed="false">
      <c r="A88" s="6" t="s">
        <v>112</v>
      </c>
      <c r="B88" s="7" t="n">
        <v>36.461</v>
      </c>
      <c r="C88" s="7" t="n">
        <v>0.132</v>
      </c>
      <c r="D88" s="8" t="n">
        <v>324.7</v>
      </c>
      <c r="E88" s="9" t="n">
        <v>83.1</v>
      </c>
      <c r="F88" s="7" t="n">
        <v>0.249</v>
      </c>
      <c r="G88" s="8" t="n">
        <v>81</v>
      </c>
      <c r="H88" s="8" t="n">
        <v>188.2</v>
      </c>
    </row>
    <row r="89" customFormat="false" ht="15" hidden="false" customHeight="false" outlineLevel="0" collapsed="false">
      <c r="A89" s="6" t="s">
        <v>113</v>
      </c>
      <c r="B89" s="7" t="n">
        <v>27.026</v>
      </c>
      <c r="C89" s="7" t="n">
        <v>0.41</v>
      </c>
      <c r="D89" s="8" t="n">
        <v>456.7</v>
      </c>
      <c r="E89" s="9" t="n">
        <v>53.9</v>
      </c>
      <c r="F89" s="7" t="n">
        <v>0.197</v>
      </c>
      <c r="G89" s="8" t="n">
        <v>139</v>
      </c>
      <c r="H89" s="8" t="n">
        <v>298.9</v>
      </c>
    </row>
    <row r="90" customFormat="false" ht="15" hidden="false" customHeight="false" outlineLevel="0" collapsed="false">
      <c r="A90" s="6" t="s">
        <v>114</v>
      </c>
      <c r="B90" s="7" t="n">
        <v>18.015</v>
      </c>
      <c r="C90" s="7" t="n">
        <v>0.345</v>
      </c>
      <c r="D90" s="8" t="n">
        <v>647.1</v>
      </c>
      <c r="E90" s="9" t="n">
        <v>220.55</v>
      </c>
      <c r="F90" s="7" t="n">
        <v>0.229</v>
      </c>
      <c r="G90" s="8" t="n">
        <v>55.9</v>
      </c>
      <c r="H90" s="8" t="n">
        <v>373.2</v>
      </c>
    </row>
    <row r="91" customFormat="false" ht="15" hidden="false" customHeight="false" outlineLevel="0" collapsed="false">
      <c r="A91" s="6" t="s">
        <v>115</v>
      </c>
      <c r="B91" s="7" t="n">
        <v>17.031</v>
      </c>
      <c r="C91" s="7" t="n">
        <v>0.253</v>
      </c>
      <c r="D91" s="8" t="n">
        <v>405.7</v>
      </c>
      <c r="E91" s="9" t="n">
        <v>112.8</v>
      </c>
      <c r="F91" s="7" t="n">
        <v>0.242</v>
      </c>
      <c r="G91" s="8" t="n">
        <v>72.5</v>
      </c>
      <c r="H91" s="8" t="n">
        <v>239.7</v>
      </c>
    </row>
    <row r="92" customFormat="false" ht="15" hidden="false" customHeight="false" outlineLevel="0" collapsed="false">
      <c r="A92" s="6" t="s">
        <v>116</v>
      </c>
      <c r="B92" s="7" t="n">
        <v>63.013</v>
      </c>
      <c r="C92" s="7" t="n">
        <v>0.714</v>
      </c>
      <c r="D92" s="8" t="n">
        <v>520</v>
      </c>
      <c r="E92" s="9" t="n">
        <v>68.9</v>
      </c>
      <c r="F92" s="7" t="n">
        <v>0.231</v>
      </c>
      <c r="G92" s="8" t="n">
        <v>145</v>
      </c>
      <c r="H92" s="8" t="n">
        <v>356.2</v>
      </c>
    </row>
    <row r="93" customFormat="false" ht="15" hidden="false" customHeight="false" outlineLevel="0" collapsed="false">
      <c r="A93" s="6" t="s">
        <v>117</v>
      </c>
      <c r="B93" s="7" t="n">
        <v>98.08</v>
      </c>
      <c r="C93" s="7"/>
      <c r="D93" s="8" t="n">
        <v>924</v>
      </c>
      <c r="E93" s="9" t="n">
        <v>64</v>
      </c>
      <c r="F93" s="7" t="n">
        <v>0.147</v>
      </c>
      <c r="G93" s="8" t="n">
        <v>177</v>
      </c>
      <c r="H93" s="8" t="n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3" min="12" style="0" width="12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4" t="s">
        <v>119</v>
      </c>
    </row>
    <row r="4" customFormat="false" ht="31.5" hidden="false" customHeight="true" outlineLevel="0" collapsed="false">
      <c r="A4" s="5" t="s">
        <v>120</v>
      </c>
      <c r="B4" s="5" t="s">
        <v>121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5" t="s">
        <v>127</v>
      </c>
      <c r="I4" s="5" t="s">
        <v>128</v>
      </c>
      <c r="J4" s="5" t="s">
        <v>129</v>
      </c>
      <c r="K4" s="5" t="s">
        <v>130</v>
      </c>
      <c r="L4" s="5" t="s">
        <v>131</v>
      </c>
      <c r="M4" s="5" t="s">
        <v>132</v>
      </c>
      <c r="N4" s="5" t="s">
        <v>133</v>
      </c>
    </row>
    <row r="5" customFormat="false" ht="15" hidden="false" customHeight="false" outlineLevel="0" collapsed="false">
      <c r="A5" s="6" t="s">
        <v>134</v>
      </c>
      <c r="B5" s="6" t="s">
        <v>135</v>
      </c>
      <c r="C5" s="6" t="s">
        <v>29</v>
      </c>
      <c r="D5" s="10" t="s">
        <v>136</v>
      </c>
      <c r="E5" s="11" t="n">
        <v>1500</v>
      </c>
      <c r="F5" s="7" t="n">
        <v>4.217</v>
      </c>
      <c r="G5" s="7" t="n">
        <v>1.702</v>
      </c>
      <c r="H5" s="7" t="n">
        <v>9.081</v>
      </c>
      <c r="I5" s="7" t="n">
        <v>-2.164</v>
      </c>
      <c r="J5" s="7"/>
      <c r="K5" s="12" t="n">
        <f aca="false">G5</f>
        <v>1.702</v>
      </c>
      <c r="L5" s="13" t="n">
        <f aca="false">IF(H5="",0,H5*0.001)</f>
        <v>0.009081</v>
      </c>
      <c r="M5" s="13" t="n">
        <f aca="false">IF(I5="",0,I5*0.000001)</f>
        <v>-2.164E-006</v>
      </c>
      <c r="N5" s="13" t="n">
        <f aca="false">IF(J5="",0,J5*100000)</f>
        <v>0</v>
      </c>
    </row>
    <row r="6" customFormat="false" ht="15" hidden="false" customHeight="false" outlineLevel="0" collapsed="false">
      <c r="A6" s="6" t="s">
        <v>134</v>
      </c>
      <c r="B6" s="6" t="s">
        <v>137</v>
      </c>
      <c r="C6" s="6" t="s">
        <v>30</v>
      </c>
      <c r="D6" s="10" t="s">
        <v>138</v>
      </c>
      <c r="E6" s="11" t="n">
        <v>1500</v>
      </c>
      <c r="F6" s="7" t="n">
        <v>6.369</v>
      </c>
      <c r="G6" s="7" t="n">
        <v>1.131</v>
      </c>
      <c r="H6" s="7" t="n">
        <v>19.225</v>
      </c>
      <c r="I6" s="7" t="n">
        <v>-5.561</v>
      </c>
      <c r="J6" s="7"/>
      <c r="K6" s="12" t="n">
        <f aca="false">G6</f>
        <v>1.131</v>
      </c>
      <c r="L6" s="13" t="n">
        <f aca="false">IF(H6="",0,H6*0.001)</f>
        <v>0.019225</v>
      </c>
      <c r="M6" s="13" t="n">
        <f aca="false">IF(I6="",0,I6*0.000001)</f>
        <v>-5.561E-006</v>
      </c>
      <c r="N6" s="13" t="n">
        <f aca="false">IF(J6="",0,J6*100000)</f>
        <v>0</v>
      </c>
    </row>
    <row r="7" customFormat="false" ht="15" hidden="false" customHeight="false" outlineLevel="0" collapsed="false">
      <c r="A7" s="6" t="s">
        <v>134</v>
      </c>
      <c r="B7" s="6" t="s">
        <v>139</v>
      </c>
      <c r="C7" s="6" t="s">
        <v>31</v>
      </c>
      <c r="D7" s="10" t="s">
        <v>140</v>
      </c>
      <c r="E7" s="11" t="n">
        <v>1500</v>
      </c>
      <c r="F7" s="7" t="n">
        <v>9.011</v>
      </c>
      <c r="G7" s="7" t="n">
        <v>1.213</v>
      </c>
      <c r="H7" s="7" t="n">
        <v>28.785</v>
      </c>
      <c r="I7" s="7" t="n">
        <v>-8.824</v>
      </c>
      <c r="J7" s="7"/>
      <c r="K7" s="12" t="n">
        <f aca="false">G7</f>
        <v>1.213</v>
      </c>
      <c r="L7" s="13" t="n">
        <f aca="false">IF(H7="",0,H7*0.001)</f>
        <v>0.028785</v>
      </c>
      <c r="M7" s="13" t="n">
        <f aca="false">IF(I7="",0,I7*0.000001)</f>
        <v>-8.824E-006</v>
      </c>
      <c r="N7" s="13" t="n">
        <f aca="false">IF(J7="",0,J7*100000)</f>
        <v>0</v>
      </c>
    </row>
    <row r="8" customFormat="false" ht="15" hidden="false" customHeight="false" outlineLevel="0" collapsed="false">
      <c r="A8" s="6" t="s">
        <v>134</v>
      </c>
      <c r="B8" s="6" t="s">
        <v>141</v>
      </c>
      <c r="C8" s="6" t="s">
        <v>32</v>
      </c>
      <c r="D8" s="10" t="s">
        <v>142</v>
      </c>
      <c r="E8" s="11" t="n">
        <v>1500</v>
      </c>
      <c r="F8" s="7" t="n">
        <v>11.928</v>
      </c>
      <c r="G8" s="7" t="n">
        <v>1.935</v>
      </c>
      <c r="H8" s="7" t="n">
        <v>36.915</v>
      </c>
      <c r="I8" s="7" t="n">
        <v>-11.402</v>
      </c>
      <c r="J8" s="7"/>
      <c r="K8" s="12" t="n">
        <f aca="false">G8</f>
        <v>1.935</v>
      </c>
      <c r="L8" s="13" t="n">
        <f aca="false">IF(H8="",0,H8*0.001)</f>
        <v>0.036915</v>
      </c>
      <c r="M8" s="13" t="n">
        <f aca="false">IF(I8="",0,I8*0.000001)</f>
        <v>-1.1402E-005</v>
      </c>
      <c r="N8" s="13" t="n">
        <f aca="false">IF(J8="",0,J8*100000)</f>
        <v>0</v>
      </c>
    </row>
    <row r="9" customFormat="false" ht="15" hidden="false" customHeight="false" outlineLevel="0" collapsed="false">
      <c r="A9" s="6" t="s">
        <v>134</v>
      </c>
      <c r="B9" s="6" t="s">
        <v>143</v>
      </c>
      <c r="C9" s="6" t="s">
        <v>144</v>
      </c>
      <c r="D9" s="10" t="s">
        <v>145</v>
      </c>
      <c r="E9" s="11" t="n">
        <v>1500</v>
      </c>
      <c r="F9" s="7" t="n">
        <v>11.901</v>
      </c>
      <c r="G9" s="7" t="n">
        <v>1.677</v>
      </c>
      <c r="H9" s="7" t="n">
        <v>37.853</v>
      </c>
      <c r="I9" s="7" t="n">
        <v>-11.945</v>
      </c>
      <c r="J9" s="7"/>
      <c r="K9" s="12" t="n">
        <f aca="false">G9</f>
        <v>1.677</v>
      </c>
      <c r="L9" s="13" t="n">
        <f aca="false">IF(H9="",0,H9*0.001)</f>
        <v>0.037853</v>
      </c>
      <c r="M9" s="13" t="n">
        <f aca="false">IF(I9="",0,I9*0.000001)</f>
        <v>-1.1945E-005</v>
      </c>
      <c r="N9" s="13" t="n">
        <f aca="false">IF(J9="",0,J9*100000)</f>
        <v>0</v>
      </c>
    </row>
    <row r="10" customFormat="false" ht="15" hidden="false" customHeight="false" outlineLevel="0" collapsed="false">
      <c r="A10" s="6" t="s">
        <v>134</v>
      </c>
      <c r="B10" s="6" t="s">
        <v>146</v>
      </c>
      <c r="C10" s="6" t="s">
        <v>33</v>
      </c>
      <c r="D10" s="10" t="s">
        <v>147</v>
      </c>
      <c r="E10" s="11" t="n">
        <v>1500</v>
      </c>
      <c r="F10" s="7" t="n">
        <v>14.731</v>
      </c>
      <c r="G10" s="7" t="n">
        <v>2.464</v>
      </c>
      <c r="H10" s="7" t="n">
        <v>45.351</v>
      </c>
      <c r="I10" s="7" t="n">
        <v>-14.111</v>
      </c>
      <c r="J10" s="7"/>
      <c r="K10" s="12" t="n">
        <f aca="false">G10</f>
        <v>2.464</v>
      </c>
      <c r="L10" s="13" t="n">
        <f aca="false">IF(H10="",0,H10*0.001)</f>
        <v>0.045351</v>
      </c>
      <c r="M10" s="13" t="n">
        <f aca="false">IF(I10="",0,I10*0.000001)</f>
        <v>-1.4111E-005</v>
      </c>
      <c r="N10" s="13" t="n">
        <f aca="false">IF(J10="",0,J10*100000)</f>
        <v>0</v>
      </c>
    </row>
    <row r="11" customFormat="false" ht="15" hidden="false" customHeight="false" outlineLevel="0" collapsed="false">
      <c r="A11" s="6" t="s">
        <v>134</v>
      </c>
      <c r="B11" s="6" t="s">
        <v>148</v>
      </c>
      <c r="C11" s="6" t="s">
        <v>34</v>
      </c>
      <c r="D11" s="10" t="s">
        <v>149</v>
      </c>
      <c r="E11" s="11" t="n">
        <v>1500</v>
      </c>
      <c r="F11" s="7" t="n">
        <v>17.55</v>
      </c>
      <c r="G11" s="7" t="n">
        <v>3.025</v>
      </c>
      <c r="H11" s="7" t="n">
        <v>53.722</v>
      </c>
      <c r="I11" s="7" t="n">
        <v>-16.791</v>
      </c>
      <c r="J11" s="7"/>
      <c r="K11" s="12" t="n">
        <f aca="false">G11</f>
        <v>3.025</v>
      </c>
      <c r="L11" s="13" t="n">
        <f aca="false">IF(H11="",0,H11*0.001)</f>
        <v>0.053722</v>
      </c>
      <c r="M11" s="13" t="n">
        <f aca="false">IF(I11="",0,I11*0.000001)</f>
        <v>-1.6791E-005</v>
      </c>
      <c r="N11" s="13" t="n">
        <f aca="false">IF(J11="",0,J11*100000)</f>
        <v>0</v>
      </c>
    </row>
    <row r="12" customFormat="false" ht="15" hidden="false" customHeight="false" outlineLevel="0" collapsed="false">
      <c r="A12" s="6" t="s">
        <v>134</v>
      </c>
      <c r="B12" s="6" t="s">
        <v>150</v>
      </c>
      <c r="C12" s="6" t="s">
        <v>35</v>
      </c>
      <c r="D12" s="10" t="s">
        <v>151</v>
      </c>
      <c r="E12" s="11" t="n">
        <v>1500</v>
      </c>
      <c r="F12" s="7" t="n">
        <v>20.361</v>
      </c>
      <c r="G12" s="7" t="n">
        <v>3.57</v>
      </c>
      <c r="H12" s="7" t="n">
        <v>62.127</v>
      </c>
      <c r="I12" s="7" t="n">
        <v>-19.486</v>
      </c>
      <c r="J12" s="7"/>
      <c r="K12" s="12" t="n">
        <f aca="false">G12</f>
        <v>3.57</v>
      </c>
      <c r="L12" s="13" t="n">
        <f aca="false">IF(H12="",0,H12*0.001)</f>
        <v>0.062127</v>
      </c>
      <c r="M12" s="13" t="n">
        <f aca="false">IF(I12="",0,I12*0.000001)</f>
        <v>-1.9486E-005</v>
      </c>
      <c r="N12" s="13" t="n">
        <f aca="false">IF(J12="",0,J12*100000)</f>
        <v>0</v>
      </c>
    </row>
    <row r="13" customFormat="false" ht="15" hidden="false" customHeight="false" outlineLevel="0" collapsed="false">
      <c r="A13" s="6" t="s">
        <v>134</v>
      </c>
      <c r="B13" s="6" t="s">
        <v>152</v>
      </c>
      <c r="C13" s="6" t="s">
        <v>36</v>
      </c>
      <c r="D13" s="10" t="s">
        <v>153</v>
      </c>
      <c r="E13" s="11" t="n">
        <v>1500</v>
      </c>
      <c r="F13" s="7" t="n">
        <v>23.174</v>
      </c>
      <c r="G13" s="7" t="n">
        <v>4.108</v>
      </c>
      <c r="H13" s="7" t="n">
        <v>70.567</v>
      </c>
      <c r="I13" s="7" t="n">
        <v>-22.208</v>
      </c>
      <c r="J13" s="7"/>
      <c r="K13" s="12" t="n">
        <f aca="false">G13</f>
        <v>4.108</v>
      </c>
      <c r="L13" s="13" t="n">
        <f aca="false">IF(H13="",0,H13*0.001)</f>
        <v>0.070567</v>
      </c>
      <c r="M13" s="13" t="n">
        <f aca="false">IF(I13="",0,I13*0.000001)</f>
        <v>-2.2208E-005</v>
      </c>
      <c r="N13" s="13" t="n">
        <f aca="false">IF(J13="",0,J13*100000)</f>
        <v>0</v>
      </c>
    </row>
    <row r="14" customFormat="false" ht="15" hidden="false" customHeight="false" outlineLevel="0" collapsed="false">
      <c r="A14" s="6" t="s">
        <v>154</v>
      </c>
      <c r="B14" s="6" t="s">
        <v>155</v>
      </c>
      <c r="C14" s="6" t="s">
        <v>45</v>
      </c>
      <c r="D14" s="10" t="s">
        <v>156</v>
      </c>
      <c r="E14" s="11" t="n">
        <v>1500</v>
      </c>
      <c r="F14" s="7" t="n">
        <v>5.325</v>
      </c>
      <c r="G14" s="7" t="n">
        <v>1.424</v>
      </c>
      <c r="H14" s="7" t="n">
        <v>14.394</v>
      </c>
      <c r="I14" s="7" t="n">
        <v>-4.392</v>
      </c>
      <c r="J14" s="7"/>
      <c r="K14" s="12" t="n">
        <f aca="false">G14</f>
        <v>1.424</v>
      </c>
      <c r="L14" s="13" t="n">
        <f aca="false">IF(H14="",0,H14*0.001)</f>
        <v>0.014394</v>
      </c>
      <c r="M14" s="13" t="n">
        <f aca="false">IF(I14="",0,I14*0.000001)</f>
        <v>-4.392E-006</v>
      </c>
      <c r="N14" s="13" t="n">
        <f aca="false">IF(J14="",0,J14*100000)</f>
        <v>0</v>
      </c>
    </row>
    <row r="15" customFormat="false" ht="15" hidden="false" customHeight="false" outlineLevel="0" collapsed="false">
      <c r="A15" s="6" t="s">
        <v>154</v>
      </c>
      <c r="B15" s="6" t="s">
        <v>157</v>
      </c>
      <c r="C15" s="6" t="s">
        <v>46</v>
      </c>
      <c r="D15" s="10" t="s">
        <v>158</v>
      </c>
      <c r="E15" s="11" t="n">
        <v>1500</v>
      </c>
      <c r="F15" s="7" t="n">
        <v>7.792</v>
      </c>
      <c r="G15" s="7" t="n">
        <v>1.637</v>
      </c>
      <c r="H15" s="7" t="n">
        <v>22.706</v>
      </c>
      <c r="I15" s="7" t="n">
        <v>-6.915</v>
      </c>
      <c r="J15" s="7"/>
      <c r="K15" s="12" t="n">
        <f aca="false">G15</f>
        <v>1.637</v>
      </c>
      <c r="L15" s="13" t="n">
        <f aca="false">IF(H15="",0,H15*0.001)</f>
        <v>0.022706</v>
      </c>
      <c r="M15" s="13" t="n">
        <f aca="false">IF(I15="",0,I15*0.000001)</f>
        <v>-6.915E-006</v>
      </c>
      <c r="N15" s="13" t="n">
        <f aca="false">IF(J15="",0,J15*100000)</f>
        <v>0</v>
      </c>
    </row>
    <row r="16" customFormat="false" ht="15" hidden="false" customHeight="false" outlineLevel="0" collapsed="false">
      <c r="A16" s="6" t="s">
        <v>154</v>
      </c>
      <c r="B16" s="6" t="s">
        <v>159</v>
      </c>
      <c r="C16" s="6" t="s">
        <v>47</v>
      </c>
      <c r="D16" s="10" t="s">
        <v>160</v>
      </c>
      <c r="E16" s="11" t="n">
        <v>1500</v>
      </c>
      <c r="F16" s="7" t="n">
        <v>10.52</v>
      </c>
      <c r="G16" s="7" t="n">
        <v>1.967</v>
      </c>
      <c r="H16" s="7" t="n">
        <v>31.63</v>
      </c>
      <c r="I16" s="7" t="n">
        <v>-9.873</v>
      </c>
      <c r="J16" s="7"/>
      <c r="K16" s="12" t="n">
        <f aca="false">G16</f>
        <v>1.967</v>
      </c>
      <c r="L16" s="13" t="n">
        <f aca="false">IF(H16="",0,H16*0.001)</f>
        <v>0.03163</v>
      </c>
      <c r="M16" s="13" t="n">
        <f aca="false">IF(I16="",0,I16*0.000001)</f>
        <v>-9.873E-006</v>
      </c>
      <c r="N16" s="13" t="n">
        <f aca="false">IF(J16="",0,J16*100000)</f>
        <v>0</v>
      </c>
    </row>
    <row r="17" customFormat="false" ht="15" hidden="false" customHeight="false" outlineLevel="0" collapsed="false">
      <c r="A17" s="6" t="s">
        <v>154</v>
      </c>
      <c r="B17" s="6" t="s">
        <v>161</v>
      </c>
      <c r="C17" s="6" t="s">
        <v>162</v>
      </c>
      <c r="D17" s="10" t="s">
        <v>163</v>
      </c>
      <c r="E17" s="11" t="n">
        <v>1500</v>
      </c>
      <c r="F17" s="7" t="n">
        <v>13.437</v>
      </c>
      <c r="G17" s="7" t="n">
        <v>2.691</v>
      </c>
      <c r="H17" s="7" t="n">
        <v>39.753</v>
      </c>
      <c r="I17" s="7" t="n">
        <v>-12.447</v>
      </c>
      <c r="J17" s="7"/>
      <c r="K17" s="12" t="n">
        <f aca="false">G17</f>
        <v>2.691</v>
      </c>
      <c r="L17" s="13" t="n">
        <f aca="false">IF(H17="",0,H17*0.001)</f>
        <v>0.039753</v>
      </c>
      <c r="M17" s="13" t="n">
        <f aca="false">IF(I17="",0,I17*0.000001)</f>
        <v>-1.2447E-005</v>
      </c>
      <c r="N17" s="13" t="n">
        <f aca="false">IF(J17="",0,J17*100000)</f>
        <v>0</v>
      </c>
    </row>
    <row r="18" customFormat="false" ht="15" hidden="false" customHeight="false" outlineLevel="0" collapsed="false">
      <c r="A18" s="6" t="s">
        <v>154</v>
      </c>
      <c r="B18" s="6" t="s">
        <v>164</v>
      </c>
      <c r="C18" s="6" t="s">
        <v>50</v>
      </c>
      <c r="D18" s="10" t="s">
        <v>165</v>
      </c>
      <c r="E18" s="11" t="n">
        <v>1500</v>
      </c>
      <c r="F18" s="7" t="n">
        <v>16.24</v>
      </c>
      <c r="G18" s="7" t="n">
        <v>3.22</v>
      </c>
      <c r="H18" s="7" t="n">
        <v>48.189</v>
      </c>
      <c r="I18" s="7" t="n">
        <v>-15.157</v>
      </c>
      <c r="J18" s="7"/>
      <c r="K18" s="12" t="n">
        <f aca="false">G18</f>
        <v>3.22</v>
      </c>
      <c r="L18" s="13" t="n">
        <f aca="false">IF(H18="",0,H18*0.001)</f>
        <v>0.048189</v>
      </c>
      <c r="M18" s="13" t="n">
        <f aca="false">IF(I18="",0,I18*0.000001)</f>
        <v>-1.5157E-005</v>
      </c>
      <c r="N18" s="13" t="n">
        <f aca="false">IF(J18="",0,J18*100000)</f>
        <v>0</v>
      </c>
    </row>
    <row r="19" customFormat="false" ht="15" hidden="false" customHeight="false" outlineLevel="0" collapsed="false">
      <c r="A19" s="6" t="s">
        <v>154</v>
      </c>
      <c r="B19" s="6" t="s">
        <v>166</v>
      </c>
      <c r="C19" s="6" t="s">
        <v>167</v>
      </c>
      <c r="D19" s="10" t="s">
        <v>168</v>
      </c>
      <c r="E19" s="11" t="n">
        <v>1500</v>
      </c>
      <c r="F19" s="7" t="n">
        <v>19.053</v>
      </c>
      <c r="G19" s="7" t="n">
        <v>3.768</v>
      </c>
      <c r="H19" s="7" t="n">
        <v>56.588</v>
      </c>
      <c r="I19" s="7" t="n">
        <v>-17.847</v>
      </c>
      <c r="J19" s="7"/>
      <c r="K19" s="12" t="n">
        <f aca="false">G19</f>
        <v>3.768</v>
      </c>
      <c r="L19" s="13" t="n">
        <f aca="false">IF(H19="",0,H19*0.001)</f>
        <v>0.056588</v>
      </c>
      <c r="M19" s="13" t="n">
        <f aca="false">IF(I19="",0,I19*0.000001)</f>
        <v>-1.7847E-005</v>
      </c>
      <c r="N19" s="13" t="n">
        <f aca="false">IF(J19="",0,J19*100000)</f>
        <v>0</v>
      </c>
    </row>
    <row r="20" customFormat="false" ht="15" hidden="false" customHeight="false" outlineLevel="0" collapsed="false">
      <c r="A20" s="6" t="s">
        <v>154</v>
      </c>
      <c r="B20" s="6" t="s">
        <v>169</v>
      </c>
      <c r="C20" s="6" t="s">
        <v>170</v>
      </c>
      <c r="D20" s="10" t="s">
        <v>171</v>
      </c>
      <c r="E20" s="11" t="n">
        <v>1500</v>
      </c>
      <c r="F20" s="7" t="n">
        <v>21.868</v>
      </c>
      <c r="G20" s="7" t="n">
        <v>4.324</v>
      </c>
      <c r="H20" s="7" t="n">
        <v>64.96</v>
      </c>
      <c r="I20" s="7" t="n">
        <v>-20.521</v>
      </c>
      <c r="J20" s="7"/>
      <c r="K20" s="12" t="n">
        <f aca="false">G20</f>
        <v>4.324</v>
      </c>
      <c r="L20" s="13" t="n">
        <f aca="false">IF(H20="",0,H20*0.001)</f>
        <v>0.06496</v>
      </c>
      <c r="M20" s="13" t="n">
        <f aca="false">IF(I20="",0,I20*0.000001)</f>
        <v>-2.0521E-005</v>
      </c>
      <c r="N20" s="13" t="n">
        <f aca="false">IF(J20="",0,J20*100000)</f>
        <v>0</v>
      </c>
    </row>
    <row r="21" customFormat="false" ht="15" hidden="false" customHeight="false" outlineLevel="0" collapsed="false">
      <c r="A21" s="6" t="s">
        <v>172</v>
      </c>
      <c r="B21" s="6" t="s">
        <v>173</v>
      </c>
      <c r="C21" s="6" t="s">
        <v>66</v>
      </c>
      <c r="D21" s="10" t="s">
        <v>174</v>
      </c>
      <c r="E21" s="11" t="n">
        <v>1000</v>
      </c>
      <c r="F21" s="7" t="n">
        <v>6.506</v>
      </c>
      <c r="G21" s="7" t="n">
        <v>1.693</v>
      </c>
      <c r="H21" s="7" t="n">
        <v>17.978</v>
      </c>
      <c r="I21" s="7" t="n">
        <v>-6.158</v>
      </c>
      <c r="J21" s="7"/>
      <c r="K21" s="12" t="n">
        <f aca="false">G21</f>
        <v>1.693</v>
      </c>
      <c r="L21" s="13" t="n">
        <f aca="false">IF(H21="",0,H21*0.001)</f>
        <v>0.017978</v>
      </c>
      <c r="M21" s="13" t="n">
        <f aca="false">IF(I21="",0,I21*0.000001)</f>
        <v>-6.158E-006</v>
      </c>
      <c r="N21" s="13" t="n">
        <f aca="false">IF(J21="",0,J21*100000)</f>
        <v>0</v>
      </c>
    </row>
    <row r="22" customFormat="false" ht="15" hidden="false" customHeight="false" outlineLevel="0" collapsed="false">
      <c r="A22" s="6" t="s">
        <v>172</v>
      </c>
      <c r="B22" s="6" t="s">
        <v>175</v>
      </c>
      <c r="C22" s="6" t="s">
        <v>54</v>
      </c>
      <c r="D22" s="10" t="s">
        <v>176</v>
      </c>
      <c r="E22" s="11" t="n">
        <v>1500</v>
      </c>
      <c r="F22" s="7" t="n">
        <v>5.253</v>
      </c>
      <c r="G22" s="7" t="n">
        <v>6.132</v>
      </c>
      <c r="H22" s="7" t="n">
        <v>1.952</v>
      </c>
      <c r="I22" s="7"/>
      <c r="J22" s="7" t="n">
        <v>-1.299</v>
      </c>
      <c r="K22" s="12" t="n">
        <f aca="false">G22</f>
        <v>6.132</v>
      </c>
      <c r="L22" s="13" t="n">
        <f aca="false">IF(H22="",0,H22*0.001)</f>
        <v>0.001952</v>
      </c>
      <c r="M22" s="13" t="n">
        <f aca="false">IF(I22="",0,I22*0.000001)</f>
        <v>0</v>
      </c>
      <c r="N22" s="13" t="n">
        <f aca="false">IF(J22="",0,J22*100000)</f>
        <v>-129900</v>
      </c>
    </row>
    <row r="23" customFormat="false" ht="15" hidden="false" customHeight="false" outlineLevel="0" collapsed="false">
      <c r="A23" s="6" t="s">
        <v>172</v>
      </c>
      <c r="B23" s="6" t="s">
        <v>177</v>
      </c>
      <c r="C23" s="6" t="s">
        <v>55</v>
      </c>
      <c r="D23" s="10" t="s">
        <v>178</v>
      </c>
      <c r="E23" s="11" t="n">
        <v>1500</v>
      </c>
      <c r="F23" s="7" t="n">
        <v>10.259</v>
      </c>
      <c r="G23" s="7" t="n">
        <v>-0.206</v>
      </c>
      <c r="H23" s="7" t="n">
        <v>39.064</v>
      </c>
      <c r="I23" s="7" t="n">
        <v>-13.301</v>
      </c>
      <c r="J23" s="7"/>
      <c r="K23" s="12" t="n">
        <f aca="false">G23</f>
        <v>-0.206</v>
      </c>
      <c r="L23" s="13" t="n">
        <f aca="false">IF(H23="",0,H23*0.001)</f>
        <v>0.039064</v>
      </c>
      <c r="M23" s="13" t="n">
        <f aca="false">IF(I23="",0,I23*0.000001)</f>
        <v>-1.3301E-005</v>
      </c>
      <c r="N23" s="13" t="n">
        <f aca="false">IF(J23="",0,J23*100000)</f>
        <v>0</v>
      </c>
    </row>
    <row r="24" customFormat="false" ht="15" hidden="false" customHeight="false" outlineLevel="0" collapsed="false">
      <c r="A24" s="6" t="s">
        <v>172</v>
      </c>
      <c r="B24" s="6" t="s">
        <v>179</v>
      </c>
      <c r="C24" s="6" t="s">
        <v>52</v>
      </c>
      <c r="D24" s="10" t="s">
        <v>180</v>
      </c>
      <c r="E24" s="11" t="n">
        <v>1500</v>
      </c>
      <c r="F24" s="7" t="n">
        <v>10.72</v>
      </c>
      <c r="G24" s="7" t="n">
        <v>2.734</v>
      </c>
      <c r="H24" s="7" t="n">
        <v>26.786</v>
      </c>
      <c r="I24" s="7" t="n">
        <v>-8.882</v>
      </c>
      <c r="J24" s="7"/>
      <c r="K24" s="12" t="n">
        <f aca="false">G24</f>
        <v>2.734</v>
      </c>
      <c r="L24" s="13" t="n">
        <f aca="false">IF(H24="",0,H24*0.001)</f>
        <v>0.026786</v>
      </c>
      <c r="M24" s="13" t="n">
        <f aca="false">IF(I24="",0,I24*0.000001)</f>
        <v>-8.882E-006</v>
      </c>
      <c r="N24" s="13" t="n">
        <f aca="false">IF(J24="",0,J24*100000)</f>
        <v>0</v>
      </c>
    </row>
    <row r="25" customFormat="false" ht="15" hidden="false" customHeight="false" outlineLevel="0" collapsed="false">
      <c r="A25" s="6" t="s">
        <v>172</v>
      </c>
      <c r="B25" s="6" t="s">
        <v>181</v>
      </c>
      <c r="C25" s="6" t="s">
        <v>42</v>
      </c>
      <c r="D25" s="10" t="s">
        <v>182</v>
      </c>
      <c r="E25" s="11" t="n">
        <v>1500</v>
      </c>
      <c r="F25" s="7" t="n">
        <v>13.121</v>
      </c>
      <c r="G25" s="7" t="n">
        <v>-3.876</v>
      </c>
      <c r="H25" s="7" t="n">
        <v>63.249</v>
      </c>
      <c r="I25" s="7" t="n">
        <v>-20.928</v>
      </c>
      <c r="J25" s="7"/>
      <c r="K25" s="12" t="n">
        <f aca="false">G25</f>
        <v>-3.876</v>
      </c>
      <c r="L25" s="13" t="n">
        <f aca="false">IF(H25="",0,H25*0.001)</f>
        <v>0.063249</v>
      </c>
      <c r="M25" s="13" t="n">
        <f aca="false">IF(I25="",0,I25*0.000001)</f>
        <v>-2.0928E-005</v>
      </c>
      <c r="N25" s="13" t="n">
        <f aca="false">IF(J25="",0,J25*100000)</f>
        <v>0</v>
      </c>
    </row>
    <row r="26" customFormat="false" ht="15" hidden="false" customHeight="false" outlineLevel="0" collapsed="false">
      <c r="A26" s="6" t="s">
        <v>172</v>
      </c>
      <c r="B26" s="6" t="s">
        <v>183</v>
      </c>
      <c r="C26" s="6" t="s">
        <v>74</v>
      </c>
      <c r="D26" s="10" t="s">
        <v>184</v>
      </c>
      <c r="E26" s="11" t="n">
        <v>1500</v>
      </c>
      <c r="F26" s="7" t="n">
        <v>8.948</v>
      </c>
      <c r="G26" s="7" t="n">
        <v>3.518</v>
      </c>
      <c r="H26" s="7" t="n">
        <v>20.001</v>
      </c>
      <c r="I26" s="7" t="n">
        <v>-6.002</v>
      </c>
      <c r="J26" s="7"/>
      <c r="K26" s="12" t="n">
        <f aca="false">G26</f>
        <v>3.518</v>
      </c>
      <c r="L26" s="13" t="n">
        <f aca="false">IF(H26="",0,H26*0.001)</f>
        <v>0.020001</v>
      </c>
      <c r="M26" s="13" t="n">
        <f aca="false">IF(I26="",0,I26*0.000001)</f>
        <v>-6.002E-006</v>
      </c>
      <c r="N26" s="13" t="n">
        <f aca="false">IF(J26="",0,J26*100000)</f>
        <v>0</v>
      </c>
    </row>
    <row r="27" customFormat="false" ht="15" hidden="false" customHeight="false" outlineLevel="0" collapsed="false">
      <c r="A27" s="6" t="s">
        <v>172</v>
      </c>
      <c r="B27" s="6" t="s">
        <v>185</v>
      </c>
      <c r="C27" s="6" t="s">
        <v>57</v>
      </c>
      <c r="D27" s="10" t="s">
        <v>186</v>
      </c>
      <c r="E27" s="11" t="n">
        <v>1500</v>
      </c>
      <c r="F27" s="7" t="n">
        <v>15.993</v>
      </c>
      <c r="G27" s="7" t="n">
        <v>1.124</v>
      </c>
      <c r="H27" s="7" t="n">
        <v>55.38</v>
      </c>
      <c r="I27" s="7" t="n">
        <v>-18.476</v>
      </c>
      <c r="J27" s="7"/>
      <c r="K27" s="12" t="n">
        <f aca="false">G27</f>
        <v>1.124</v>
      </c>
      <c r="L27" s="13" t="n">
        <f aca="false">IF(H27="",0,H27*0.001)</f>
        <v>0.05538</v>
      </c>
      <c r="M27" s="13" t="n">
        <f aca="false">IF(I27="",0,I27*0.000001)</f>
        <v>-1.8476E-005</v>
      </c>
      <c r="N27" s="13" t="n">
        <f aca="false">IF(J27="",0,J27*100000)</f>
        <v>0</v>
      </c>
    </row>
    <row r="28" customFormat="false" ht="15" hidden="false" customHeight="false" outlineLevel="0" collapsed="false">
      <c r="A28" s="6" t="s">
        <v>172</v>
      </c>
      <c r="B28" s="6" t="s">
        <v>187</v>
      </c>
      <c r="C28" s="6" t="s">
        <v>188</v>
      </c>
      <c r="D28" s="10" t="s">
        <v>189</v>
      </c>
      <c r="E28" s="11" t="n">
        <v>1000</v>
      </c>
      <c r="F28" s="7" t="n">
        <v>5.784</v>
      </c>
      <c r="G28" s="7" t="n">
        <v>-0.385</v>
      </c>
      <c r="H28" s="7" t="n">
        <v>23.463</v>
      </c>
      <c r="I28" s="7" t="n">
        <v>-9.296</v>
      </c>
      <c r="J28" s="7"/>
      <c r="K28" s="12" t="n">
        <f aca="false">G28</f>
        <v>-0.385</v>
      </c>
      <c r="L28" s="13" t="n">
        <f aca="false">IF(H28="",0,H28*0.001)</f>
        <v>0.023463</v>
      </c>
      <c r="M28" s="13" t="n">
        <f aca="false">IF(I28="",0,I28*0.000001)</f>
        <v>-9.296E-006</v>
      </c>
      <c r="N28" s="13" t="n">
        <f aca="false">IF(J28="",0,J28*100000)</f>
        <v>0</v>
      </c>
    </row>
    <row r="29" customFormat="false" ht="15" hidden="false" customHeight="false" outlineLevel="0" collapsed="false">
      <c r="A29" s="6" t="s">
        <v>172</v>
      </c>
      <c r="B29" s="6" t="s">
        <v>190</v>
      </c>
      <c r="C29" s="6" t="s">
        <v>65</v>
      </c>
      <c r="D29" s="10" t="s">
        <v>191</v>
      </c>
      <c r="E29" s="11" t="n">
        <v>1500</v>
      </c>
      <c r="F29" s="7" t="n">
        <v>4.191</v>
      </c>
      <c r="G29" s="7" t="n">
        <v>2.264</v>
      </c>
      <c r="H29" s="7" t="n">
        <v>7.022</v>
      </c>
      <c r="I29" s="7" t="n">
        <v>-1.877</v>
      </c>
      <c r="J29" s="7"/>
      <c r="K29" s="12" t="n">
        <f aca="false">G29</f>
        <v>2.264</v>
      </c>
      <c r="L29" s="13" t="n">
        <f aca="false">IF(H29="",0,H29*0.001)</f>
        <v>0.007022</v>
      </c>
      <c r="M29" s="13" t="n">
        <f aca="false">IF(I29="",0,I29*0.000001)</f>
        <v>-1.877E-006</v>
      </c>
      <c r="N29" s="13" t="n">
        <f aca="false">IF(J29="",0,J29*100000)</f>
        <v>0</v>
      </c>
    </row>
    <row r="30" customFormat="false" ht="15" hidden="false" customHeight="false" outlineLevel="0" collapsed="false">
      <c r="A30" s="6" t="s">
        <v>172</v>
      </c>
      <c r="B30" s="6" t="s">
        <v>192</v>
      </c>
      <c r="C30" s="6" t="s">
        <v>73</v>
      </c>
      <c r="D30" s="10" t="s">
        <v>193</v>
      </c>
      <c r="E30" s="11" t="n">
        <v>1500</v>
      </c>
      <c r="F30" s="7" t="n">
        <v>5.547</v>
      </c>
      <c r="G30" s="7" t="n">
        <v>2.211</v>
      </c>
      <c r="H30" s="7" t="n">
        <v>12.216</v>
      </c>
      <c r="I30" s="7" t="n">
        <v>-3.45</v>
      </c>
      <c r="J30" s="7"/>
      <c r="K30" s="12" t="n">
        <f aca="false">G30</f>
        <v>2.211</v>
      </c>
      <c r="L30" s="13" t="n">
        <f aca="false">IF(H30="",0,H30*0.001)</f>
        <v>0.012216</v>
      </c>
      <c r="M30" s="13" t="n">
        <f aca="false">IF(I30="",0,I30*0.000001)</f>
        <v>-3.45E-006</v>
      </c>
      <c r="N30" s="13" t="n">
        <f aca="false">IF(J30="",0,J30*100000)</f>
        <v>0</v>
      </c>
    </row>
    <row r="31" customFormat="false" ht="15" hidden="false" customHeight="false" outlineLevel="0" collapsed="false">
      <c r="A31" s="6" t="s">
        <v>172</v>
      </c>
      <c r="B31" s="6" t="s">
        <v>194</v>
      </c>
      <c r="C31" s="6" t="s">
        <v>62</v>
      </c>
      <c r="D31" s="10" t="s">
        <v>195</v>
      </c>
      <c r="E31" s="11" t="n">
        <v>1500</v>
      </c>
      <c r="F31" s="7" t="n">
        <v>15.534</v>
      </c>
      <c r="G31" s="7" t="n">
        <v>2.05</v>
      </c>
      <c r="H31" s="7" t="n">
        <v>50.192</v>
      </c>
      <c r="I31" s="7" t="n">
        <v>-16.662</v>
      </c>
      <c r="J31" s="7"/>
      <c r="K31" s="12" t="n">
        <f aca="false">G31</f>
        <v>2.05</v>
      </c>
      <c r="L31" s="13" t="n">
        <f aca="false">IF(H31="",0,H31*0.001)</f>
        <v>0.050192</v>
      </c>
      <c r="M31" s="13" t="n">
        <f aca="false">IF(I31="",0,I31*0.000001)</f>
        <v>-1.6662E-005</v>
      </c>
      <c r="N31" s="13" t="n">
        <f aca="false">IF(J31="",0,J31*100000)</f>
        <v>0</v>
      </c>
    </row>
    <row r="32" customFormat="false" ht="15" hidden="false" customHeight="false" outlineLevel="0" collapsed="false">
      <c r="A32" s="6" t="s">
        <v>172</v>
      </c>
      <c r="B32" s="6" t="s">
        <v>196</v>
      </c>
      <c r="C32" s="6" t="s">
        <v>56</v>
      </c>
      <c r="D32" s="10" t="s">
        <v>197</v>
      </c>
      <c r="E32" s="11" t="n">
        <v>1500</v>
      </c>
      <c r="F32" s="7" t="n">
        <v>12.922</v>
      </c>
      <c r="G32" s="7" t="n">
        <v>0.29</v>
      </c>
      <c r="H32" s="7" t="n">
        <v>47.052</v>
      </c>
      <c r="I32" s="7" t="n">
        <v>-15.716</v>
      </c>
      <c r="J32" s="7"/>
      <c r="K32" s="12" t="n">
        <f aca="false">G32</f>
        <v>0.29</v>
      </c>
      <c r="L32" s="13" t="n">
        <f aca="false">IF(H32="",0,H32*0.001)</f>
        <v>0.047052</v>
      </c>
      <c r="M32" s="13" t="n">
        <f aca="false">IF(I32="",0,I32*0.000001)</f>
        <v>-1.5716E-005</v>
      </c>
      <c r="N32" s="13" t="n">
        <f aca="false">IF(J32="",0,J32*100000)</f>
        <v>0</v>
      </c>
    </row>
    <row r="33" customFormat="false" ht="15" hidden="false" customHeight="false" outlineLevel="0" collapsed="false">
      <c r="A33" s="6" t="s">
        <v>198</v>
      </c>
      <c r="B33" s="6" t="s">
        <v>199</v>
      </c>
      <c r="C33" s="6" t="s">
        <v>102</v>
      </c>
      <c r="D33" s="10" t="s">
        <v>199</v>
      </c>
      <c r="E33" s="11" t="n">
        <v>2000</v>
      </c>
      <c r="F33" s="7" t="n">
        <v>3.509</v>
      </c>
      <c r="G33" s="7" t="n">
        <v>3.355</v>
      </c>
      <c r="H33" s="7" t="n">
        <v>0.575</v>
      </c>
      <c r="I33" s="7"/>
      <c r="J33" s="7" t="n">
        <v>-0.016</v>
      </c>
      <c r="K33" s="12" t="n">
        <f aca="false">G33</f>
        <v>3.355</v>
      </c>
      <c r="L33" s="13" t="n">
        <f aca="false">IF(H33="",0,H33*0.001)</f>
        <v>0.000575</v>
      </c>
      <c r="M33" s="13" t="n">
        <f aca="false">IF(I33="",0,I33*0.000001)</f>
        <v>0</v>
      </c>
      <c r="N33" s="13" t="n">
        <f aca="false">IF(J33="",0,J33*100000)</f>
        <v>-1600</v>
      </c>
    </row>
    <row r="34" customFormat="false" ht="15" hidden="false" customHeight="false" outlineLevel="0" collapsed="false">
      <c r="A34" s="6" t="s">
        <v>198</v>
      </c>
      <c r="B34" s="6" t="s">
        <v>200</v>
      </c>
      <c r="C34" s="6" t="s">
        <v>115</v>
      </c>
      <c r="D34" s="10" t="s">
        <v>201</v>
      </c>
      <c r="E34" s="11" t="n">
        <v>1800</v>
      </c>
      <c r="F34" s="7" t="n">
        <v>4.269</v>
      </c>
      <c r="G34" s="7" t="n">
        <v>3.578</v>
      </c>
      <c r="H34" s="7" t="n">
        <v>3.02</v>
      </c>
      <c r="I34" s="7"/>
      <c r="J34" s="7" t="n">
        <v>-0.186</v>
      </c>
      <c r="K34" s="12" t="n">
        <f aca="false">G34</f>
        <v>3.578</v>
      </c>
      <c r="L34" s="13" t="n">
        <f aca="false">IF(H34="",0,H34*0.001)</f>
        <v>0.00302</v>
      </c>
      <c r="M34" s="13" t="n">
        <f aca="false">IF(I34="",0,I34*0.000001)</f>
        <v>0</v>
      </c>
      <c r="N34" s="13" t="n">
        <f aca="false">IF(J34="",0,J34*100000)</f>
        <v>-18600</v>
      </c>
    </row>
    <row r="35" customFormat="false" ht="15" hidden="false" customHeight="false" outlineLevel="0" collapsed="false">
      <c r="A35" s="6" t="s">
        <v>198</v>
      </c>
      <c r="B35" s="6" t="s">
        <v>202</v>
      </c>
      <c r="C35" s="6" t="s">
        <v>203</v>
      </c>
      <c r="D35" s="10" t="s">
        <v>204</v>
      </c>
      <c r="E35" s="11" t="n">
        <v>3000</v>
      </c>
      <c r="F35" s="7" t="n">
        <v>4.337</v>
      </c>
      <c r="G35" s="7" t="n">
        <v>4.493</v>
      </c>
      <c r="H35" s="7" t="n">
        <v>0.056</v>
      </c>
      <c r="I35" s="7"/>
      <c r="J35" s="7" t="n">
        <v>-0.154</v>
      </c>
      <c r="K35" s="12" t="n">
        <f aca="false">G35</f>
        <v>4.493</v>
      </c>
      <c r="L35" s="13" t="n">
        <f aca="false">IF(H35="",0,H35*0.001)</f>
        <v>5.6E-005</v>
      </c>
      <c r="M35" s="13" t="n">
        <f aca="false">IF(I35="",0,I35*0.000001)</f>
        <v>0</v>
      </c>
      <c r="N35" s="13" t="n">
        <f aca="false">IF(J35="",0,J35*100000)</f>
        <v>-15400</v>
      </c>
    </row>
    <row r="36" customFormat="false" ht="15" hidden="false" customHeight="false" outlineLevel="0" collapsed="false">
      <c r="A36" s="6" t="s">
        <v>198</v>
      </c>
      <c r="B36" s="6" t="s">
        <v>205</v>
      </c>
      <c r="C36" s="6" t="s">
        <v>104</v>
      </c>
      <c r="D36" s="10" t="s">
        <v>206</v>
      </c>
      <c r="E36" s="11" t="n">
        <v>2500</v>
      </c>
      <c r="F36" s="7" t="n">
        <v>3.507</v>
      </c>
      <c r="G36" s="7" t="n">
        <v>3.376</v>
      </c>
      <c r="H36" s="7" t="n">
        <v>0.557</v>
      </c>
      <c r="I36" s="7"/>
      <c r="J36" s="7" t="n">
        <v>-0.031</v>
      </c>
      <c r="K36" s="12" t="n">
        <f aca="false">G36</f>
        <v>3.376</v>
      </c>
      <c r="L36" s="13" t="n">
        <f aca="false">IF(H36="",0,H36*0.001)</f>
        <v>0.000557</v>
      </c>
      <c r="M36" s="13" t="n">
        <f aca="false">IF(I36="",0,I36*0.000001)</f>
        <v>0</v>
      </c>
      <c r="N36" s="13" t="n">
        <f aca="false">IF(J36="",0,J36*100000)</f>
        <v>-3100</v>
      </c>
    </row>
    <row r="37" customFormat="false" ht="15" hidden="false" customHeight="false" outlineLevel="0" collapsed="false">
      <c r="A37" s="6" t="s">
        <v>198</v>
      </c>
      <c r="B37" s="6" t="s">
        <v>207</v>
      </c>
      <c r="C37" s="6" t="s">
        <v>105</v>
      </c>
      <c r="D37" s="10" t="s">
        <v>208</v>
      </c>
      <c r="E37" s="11" t="n">
        <v>2000</v>
      </c>
      <c r="F37" s="7" t="n">
        <v>4.467</v>
      </c>
      <c r="G37" s="7" t="n">
        <v>5.457</v>
      </c>
      <c r="H37" s="7" t="n">
        <v>1.045</v>
      </c>
      <c r="I37" s="7"/>
      <c r="J37" s="7" t="n">
        <v>-1.157</v>
      </c>
      <c r="K37" s="12" t="n">
        <f aca="false">G37</f>
        <v>5.457</v>
      </c>
      <c r="L37" s="13" t="n">
        <f aca="false">IF(H37="",0,H37*0.001)</f>
        <v>0.001045</v>
      </c>
      <c r="M37" s="13" t="n">
        <f aca="false">IF(I37="",0,I37*0.000001)</f>
        <v>0</v>
      </c>
      <c r="N37" s="13" t="n">
        <f aca="false">IF(J37="",0,J37*100000)</f>
        <v>-115700</v>
      </c>
    </row>
    <row r="38" customFormat="false" ht="15" hidden="false" customHeight="false" outlineLevel="0" collapsed="false">
      <c r="A38" s="6" t="s">
        <v>198</v>
      </c>
      <c r="B38" s="6" t="s">
        <v>209</v>
      </c>
      <c r="C38" s="6" t="s">
        <v>106</v>
      </c>
      <c r="D38" s="10" t="s">
        <v>210</v>
      </c>
      <c r="E38" s="11" t="n">
        <v>1800</v>
      </c>
      <c r="F38" s="7" t="n">
        <v>5.532</v>
      </c>
      <c r="G38" s="7" t="n">
        <v>6.311</v>
      </c>
      <c r="H38" s="7" t="n">
        <v>0.805</v>
      </c>
      <c r="I38" s="7"/>
      <c r="J38" s="7" t="n">
        <v>-0.906</v>
      </c>
      <c r="K38" s="12" t="n">
        <f aca="false">G38</f>
        <v>6.311</v>
      </c>
      <c r="L38" s="13" t="n">
        <f aca="false">IF(H38="",0,H38*0.001)</f>
        <v>0.000805</v>
      </c>
      <c r="M38" s="13" t="n">
        <f aca="false">IF(I38="",0,I38*0.000001)</f>
        <v>0</v>
      </c>
      <c r="N38" s="13" t="n">
        <f aca="false">IF(J38="",0,J38*100000)</f>
        <v>-90600</v>
      </c>
    </row>
    <row r="39" customFormat="false" ht="15" hidden="false" customHeight="false" outlineLevel="0" collapsed="false">
      <c r="A39" s="6" t="s">
        <v>198</v>
      </c>
      <c r="B39" s="6" t="s">
        <v>211</v>
      </c>
      <c r="C39" s="6" t="s">
        <v>103</v>
      </c>
      <c r="D39" s="10" t="s">
        <v>212</v>
      </c>
      <c r="E39" s="11" t="n">
        <v>3000</v>
      </c>
      <c r="F39" s="7" t="n">
        <v>4.082</v>
      </c>
      <c r="G39" s="7" t="n">
        <v>4.442</v>
      </c>
      <c r="H39" s="7" t="n">
        <v>0.089</v>
      </c>
      <c r="I39" s="7"/>
      <c r="J39" s="7" t="n">
        <v>-0.344</v>
      </c>
      <c r="K39" s="12" t="n">
        <f aca="false">G39</f>
        <v>4.442</v>
      </c>
      <c r="L39" s="13" t="n">
        <f aca="false">IF(H39="",0,H39*0.001)</f>
        <v>8.9E-005</v>
      </c>
      <c r="M39" s="13" t="n">
        <f aca="false">IF(I39="",0,I39*0.000001)</f>
        <v>0</v>
      </c>
      <c r="N39" s="13" t="n">
        <f aca="false">IF(J39="",0,J39*100000)</f>
        <v>-34400</v>
      </c>
    </row>
    <row r="40" customFormat="false" ht="15" hidden="false" customHeight="false" outlineLevel="0" collapsed="false">
      <c r="A40" s="6" t="s">
        <v>198</v>
      </c>
      <c r="B40" s="6" t="s">
        <v>213</v>
      </c>
      <c r="C40" s="6" t="s">
        <v>99</v>
      </c>
      <c r="D40" s="10" t="s">
        <v>214</v>
      </c>
      <c r="E40" s="11" t="n">
        <v>3000</v>
      </c>
      <c r="F40" s="7" t="n">
        <v>3.468</v>
      </c>
      <c r="G40" s="7" t="n">
        <v>3.249</v>
      </c>
      <c r="H40" s="7" t="n">
        <v>0.422</v>
      </c>
      <c r="I40" s="7"/>
      <c r="J40" s="7" t="n">
        <v>0.083</v>
      </c>
      <c r="K40" s="12" t="n">
        <f aca="false">G40</f>
        <v>3.249</v>
      </c>
      <c r="L40" s="13" t="n">
        <f aca="false">IF(H40="",0,H40*0.001)</f>
        <v>0.000422</v>
      </c>
      <c r="M40" s="13" t="n">
        <f aca="false">IF(I40="",0,I40*0.000001)</f>
        <v>0</v>
      </c>
      <c r="N40" s="13" t="n">
        <f aca="false">IF(J40="",0,J40*100000)</f>
        <v>8300</v>
      </c>
    </row>
    <row r="41" customFormat="false" ht="15" hidden="false" customHeight="false" outlineLevel="0" collapsed="false">
      <c r="A41" s="6" t="s">
        <v>198</v>
      </c>
      <c r="B41" s="6" t="s">
        <v>215</v>
      </c>
      <c r="C41" s="6" t="s">
        <v>107</v>
      </c>
      <c r="D41" s="10" t="s">
        <v>216</v>
      </c>
      <c r="E41" s="11" t="n">
        <v>2300</v>
      </c>
      <c r="F41" s="7" t="n">
        <v>4.114</v>
      </c>
      <c r="G41" s="7" t="n">
        <v>3.931</v>
      </c>
      <c r="H41" s="7" t="n">
        <v>1.49</v>
      </c>
      <c r="I41" s="7"/>
      <c r="J41" s="7" t="n">
        <v>-0.232</v>
      </c>
      <c r="K41" s="12" t="n">
        <f aca="false">G41</f>
        <v>3.931</v>
      </c>
      <c r="L41" s="13" t="n">
        <f aca="false">IF(H41="",0,H41*0.001)</f>
        <v>0.00149</v>
      </c>
      <c r="M41" s="13" t="n">
        <f aca="false">IF(I41="",0,I41*0.000001)</f>
        <v>0</v>
      </c>
      <c r="N41" s="13" t="n">
        <f aca="false">IF(J41="",0,J41*100000)</f>
        <v>-23200</v>
      </c>
    </row>
    <row r="42" customFormat="false" ht="15" hidden="false" customHeight="false" outlineLevel="0" collapsed="false">
      <c r="A42" s="6" t="s">
        <v>198</v>
      </c>
      <c r="B42" s="6" t="s">
        <v>217</v>
      </c>
      <c r="C42" s="6" t="s">
        <v>112</v>
      </c>
      <c r="D42" s="10" t="s">
        <v>218</v>
      </c>
      <c r="E42" s="11" t="n">
        <v>2000</v>
      </c>
      <c r="F42" s="7" t="n">
        <v>3.512</v>
      </c>
      <c r="G42" s="7" t="n">
        <v>3.156</v>
      </c>
      <c r="H42" s="7" t="n">
        <v>0.623</v>
      </c>
      <c r="I42" s="7"/>
      <c r="J42" s="7" t="n">
        <v>0.151</v>
      </c>
      <c r="K42" s="12" t="n">
        <f aca="false">G42</f>
        <v>3.156</v>
      </c>
      <c r="L42" s="13" t="n">
        <f aca="false">IF(H42="",0,H42*0.001)</f>
        <v>0.000623</v>
      </c>
      <c r="M42" s="13" t="n">
        <f aca="false">IF(I42="",0,I42*0.000001)</f>
        <v>0</v>
      </c>
      <c r="N42" s="13" t="n">
        <f aca="false">IF(J42="",0,J42*100000)</f>
        <v>15100</v>
      </c>
    </row>
    <row r="43" customFormat="false" ht="15" hidden="false" customHeight="false" outlineLevel="0" collapsed="false">
      <c r="A43" s="6" t="s">
        <v>198</v>
      </c>
      <c r="B43" s="6" t="s">
        <v>219</v>
      </c>
      <c r="C43" s="6" t="s">
        <v>113</v>
      </c>
      <c r="D43" s="10" t="s">
        <v>220</v>
      </c>
      <c r="E43" s="11" t="n">
        <v>2500</v>
      </c>
      <c r="F43" s="7" t="n">
        <v>4.326</v>
      </c>
      <c r="G43" s="7" t="n">
        <v>4.736</v>
      </c>
      <c r="H43" s="7" t="n">
        <v>1.359</v>
      </c>
      <c r="I43" s="7"/>
      <c r="J43" s="7" t="n">
        <v>-0.725</v>
      </c>
      <c r="K43" s="12" t="n">
        <f aca="false">G43</f>
        <v>4.736</v>
      </c>
      <c r="L43" s="13" t="n">
        <f aca="false">IF(H43="",0,H43*0.001)</f>
        <v>0.001359</v>
      </c>
      <c r="M43" s="13" t="n">
        <f aca="false">IF(I43="",0,I43*0.000001)</f>
        <v>0</v>
      </c>
      <c r="N43" s="13" t="n">
        <f aca="false">IF(J43="",0,J43*100000)</f>
        <v>-72500</v>
      </c>
    </row>
    <row r="44" customFormat="false" ht="15" hidden="false" customHeight="false" outlineLevel="0" collapsed="false">
      <c r="A44" s="6" t="s">
        <v>198</v>
      </c>
      <c r="B44" s="6" t="s">
        <v>221</v>
      </c>
      <c r="C44" s="6" t="s">
        <v>101</v>
      </c>
      <c r="D44" s="10" t="s">
        <v>222</v>
      </c>
      <c r="E44" s="11" t="n">
        <v>2000</v>
      </c>
      <c r="F44" s="7" t="n">
        <v>3.502</v>
      </c>
      <c r="G44" s="7" t="n">
        <v>3.28</v>
      </c>
      <c r="H44" s="7" t="n">
        <v>0.593</v>
      </c>
      <c r="I44" s="7"/>
      <c r="J44" s="7" t="n">
        <v>0.04</v>
      </c>
      <c r="K44" s="12" t="n">
        <f aca="false">G44</f>
        <v>3.28</v>
      </c>
      <c r="L44" s="13" t="n">
        <f aca="false">IF(H44="",0,H44*0.001)</f>
        <v>0.000593</v>
      </c>
      <c r="M44" s="13" t="n">
        <f aca="false">IF(I44="",0,I44*0.000001)</f>
        <v>0</v>
      </c>
      <c r="N44" s="13" t="n">
        <f aca="false">IF(J44="",0,J44*100000)</f>
        <v>4000</v>
      </c>
    </row>
    <row r="45" customFormat="false" ht="15" hidden="false" customHeight="false" outlineLevel="0" collapsed="false">
      <c r="A45" s="6" t="s">
        <v>198</v>
      </c>
      <c r="B45" s="6" t="s">
        <v>223</v>
      </c>
      <c r="C45" s="6" t="s">
        <v>224</v>
      </c>
      <c r="D45" s="10" t="s">
        <v>225</v>
      </c>
      <c r="E45" s="11" t="n">
        <v>2000</v>
      </c>
      <c r="F45" s="7" t="n">
        <v>4.646</v>
      </c>
      <c r="G45" s="7" t="n">
        <v>5.328</v>
      </c>
      <c r="H45" s="7" t="n">
        <v>1.214</v>
      </c>
      <c r="I45" s="7"/>
      <c r="J45" s="7" t="n">
        <v>-0.928</v>
      </c>
      <c r="K45" s="12" t="n">
        <f aca="false">G45</f>
        <v>5.328</v>
      </c>
      <c r="L45" s="13" t="n">
        <f aca="false">IF(H45="",0,H45*0.001)</f>
        <v>0.001214</v>
      </c>
      <c r="M45" s="13" t="n">
        <f aca="false">IF(I45="",0,I45*0.000001)</f>
        <v>0</v>
      </c>
      <c r="N45" s="13" t="n">
        <f aca="false">IF(J45="",0,J45*100000)</f>
        <v>-92800</v>
      </c>
    </row>
    <row r="46" customFormat="false" ht="15" hidden="false" customHeight="false" outlineLevel="0" collapsed="false">
      <c r="A46" s="6" t="s">
        <v>198</v>
      </c>
      <c r="B46" s="6" t="s">
        <v>226</v>
      </c>
      <c r="C46" s="6" t="s">
        <v>227</v>
      </c>
      <c r="D46" s="10" t="s">
        <v>228</v>
      </c>
      <c r="E46" s="11" t="n">
        <v>2000</v>
      </c>
      <c r="F46" s="7" t="n">
        <v>3.59</v>
      </c>
      <c r="G46" s="7" t="n">
        <v>3.387</v>
      </c>
      <c r="H46" s="7" t="n">
        <v>0.629</v>
      </c>
      <c r="I46" s="7"/>
      <c r="J46" s="7" t="n">
        <v>0.014</v>
      </c>
      <c r="K46" s="12" t="n">
        <f aca="false">G46</f>
        <v>3.387</v>
      </c>
      <c r="L46" s="13" t="n">
        <f aca="false">IF(H46="",0,H46*0.001)</f>
        <v>0.000629</v>
      </c>
      <c r="M46" s="13" t="n">
        <f aca="false">IF(I46="",0,I46*0.000001)</f>
        <v>0</v>
      </c>
      <c r="N46" s="13" t="n">
        <f aca="false">IF(J46="",0,J46*100000)</f>
        <v>1400</v>
      </c>
    </row>
    <row r="47" customFormat="false" ht="15" hidden="false" customHeight="false" outlineLevel="0" collapsed="false">
      <c r="A47" s="6" t="s">
        <v>198</v>
      </c>
      <c r="B47" s="6" t="s">
        <v>229</v>
      </c>
      <c r="C47" s="6" t="s">
        <v>230</v>
      </c>
      <c r="D47" s="10" t="s">
        <v>231</v>
      </c>
      <c r="E47" s="11" t="n">
        <v>2000</v>
      </c>
      <c r="F47" s="7" t="n">
        <v>4.447</v>
      </c>
      <c r="G47" s="7" t="n">
        <v>4.982</v>
      </c>
      <c r="H47" s="7" t="n">
        <v>1.195</v>
      </c>
      <c r="I47" s="7"/>
      <c r="J47" s="7" t="n">
        <v>-0.792</v>
      </c>
      <c r="K47" s="12" t="n">
        <f aca="false">G47</f>
        <v>4.982</v>
      </c>
      <c r="L47" s="13" t="n">
        <f aca="false">IF(H47="",0,H47*0.001)</f>
        <v>0.001195</v>
      </c>
      <c r="M47" s="13" t="n">
        <f aca="false">IF(I47="",0,I47*0.000001)</f>
        <v>0</v>
      </c>
      <c r="N47" s="13" t="n">
        <f aca="false">IF(J47="",0,J47*100000)</f>
        <v>-79200</v>
      </c>
    </row>
    <row r="48" customFormat="false" ht="15" hidden="false" customHeight="false" outlineLevel="0" collapsed="false">
      <c r="A48" s="6" t="s">
        <v>198</v>
      </c>
      <c r="B48" s="6" t="s">
        <v>232</v>
      </c>
      <c r="C48" s="6" t="s">
        <v>233</v>
      </c>
      <c r="D48" s="10" t="s">
        <v>234</v>
      </c>
      <c r="E48" s="11" t="n">
        <v>2000</v>
      </c>
      <c r="F48" s="7" t="n">
        <v>9.198</v>
      </c>
      <c r="G48" s="7" t="n">
        <v>11.66</v>
      </c>
      <c r="H48" s="7" t="n">
        <v>2.257</v>
      </c>
      <c r="I48" s="7"/>
      <c r="J48" s="7" t="n">
        <v>-2.787</v>
      </c>
      <c r="K48" s="12" t="n">
        <f aca="false">G48</f>
        <v>11.66</v>
      </c>
      <c r="L48" s="13" t="n">
        <f aca="false">IF(H48="",0,H48*0.001)</f>
        <v>0.002257</v>
      </c>
      <c r="M48" s="13" t="n">
        <f aca="false">IF(I48="",0,I48*0.000001)</f>
        <v>0</v>
      </c>
      <c r="N48" s="13" t="n">
        <f aca="false">IF(J48="",0,J48*100000)</f>
        <v>-278700</v>
      </c>
    </row>
    <row r="49" customFormat="false" ht="15" hidden="false" customHeight="false" outlineLevel="0" collapsed="false">
      <c r="A49" s="6" t="s">
        <v>198</v>
      </c>
      <c r="B49" s="6" t="s">
        <v>235</v>
      </c>
      <c r="C49" s="6" t="s">
        <v>100</v>
      </c>
      <c r="D49" s="10" t="s">
        <v>236</v>
      </c>
      <c r="E49" s="11" t="n">
        <v>2000</v>
      </c>
      <c r="F49" s="7" t="n">
        <v>3.535</v>
      </c>
      <c r="G49" s="7" t="n">
        <v>3.639</v>
      </c>
      <c r="H49" s="7" t="n">
        <v>0.506</v>
      </c>
      <c r="I49" s="7"/>
      <c r="J49" s="7" t="n">
        <v>-0.227</v>
      </c>
      <c r="K49" s="12" t="n">
        <f aca="false">G49</f>
        <v>3.639</v>
      </c>
      <c r="L49" s="13" t="n">
        <f aca="false">IF(H49="",0,H49*0.001)</f>
        <v>0.000506</v>
      </c>
      <c r="M49" s="13" t="n">
        <f aca="false">IF(I49="",0,I49*0.000001)</f>
        <v>0</v>
      </c>
      <c r="N49" s="13" t="n">
        <f aca="false">IF(J49="",0,J49*100000)</f>
        <v>-22700</v>
      </c>
    </row>
    <row r="50" customFormat="false" ht="15" hidden="false" customHeight="false" outlineLevel="0" collapsed="false">
      <c r="A50" s="6" t="s">
        <v>198</v>
      </c>
      <c r="B50" s="6" t="s">
        <v>237</v>
      </c>
      <c r="C50" s="6" t="s">
        <v>108</v>
      </c>
      <c r="D50" s="10" t="s">
        <v>238</v>
      </c>
      <c r="E50" s="11" t="n">
        <v>2000</v>
      </c>
      <c r="F50" s="7" t="n">
        <v>4.796</v>
      </c>
      <c r="G50" s="7" t="n">
        <v>5.699</v>
      </c>
      <c r="H50" s="7" t="n">
        <v>0.801</v>
      </c>
      <c r="I50" s="7"/>
      <c r="J50" s="7" t="n">
        <v>-1.015</v>
      </c>
      <c r="K50" s="12" t="n">
        <f aca="false">G50</f>
        <v>5.699</v>
      </c>
      <c r="L50" s="13" t="n">
        <f aca="false">IF(H50="",0,H50*0.001)</f>
        <v>0.000801</v>
      </c>
      <c r="M50" s="13" t="n">
        <f aca="false">IF(I50="",0,I50*0.000001)</f>
        <v>0</v>
      </c>
      <c r="N50" s="13" t="n">
        <f aca="false">IF(J50="",0,J50*100000)</f>
        <v>-101500</v>
      </c>
    </row>
    <row r="51" customFormat="false" ht="15" hidden="false" customHeight="false" outlineLevel="0" collapsed="false">
      <c r="A51" s="6" t="s">
        <v>198</v>
      </c>
      <c r="B51" s="6" t="s">
        <v>239</v>
      </c>
      <c r="C51" s="6" t="s">
        <v>109</v>
      </c>
      <c r="D51" s="10" t="s">
        <v>240</v>
      </c>
      <c r="E51" s="11" t="n">
        <v>2000</v>
      </c>
      <c r="F51" s="7" t="n">
        <v>6.094</v>
      </c>
      <c r="G51" s="7" t="n">
        <v>8.06</v>
      </c>
      <c r="H51" s="7" t="n">
        <v>1.056</v>
      </c>
      <c r="I51" s="7"/>
      <c r="J51" s="7" t="n">
        <v>-2.028</v>
      </c>
      <c r="K51" s="12" t="n">
        <f aca="false">G51</f>
        <v>8.06</v>
      </c>
      <c r="L51" s="13" t="n">
        <f aca="false">IF(H51="",0,H51*0.001)</f>
        <v>0.001056</v>
      </c>
      <c r="M51" s="13" t="n">
        <f aca="false">IF(I51="",0,I51*0.000001)</f>
        <v>0</v>
      </c>
      <c r="N51" s="13" t="n">
        <f aca="false">IF(J51="",0,J51*100000)</f>
        <v>-202800</v>
      </c>
    </row>
    <row r="52" customFormat="false" ht="15" hidden="false" customHeight="false" outlineLevel="0" collapsed="false">
      <c r="A52" s="6" t="s">
        <v>198</v>
      </c>
      <c r="B52" s="6" t="s">
        <v>241</v>
      </c>
      <c r="C52" s="6" t="s">
        <v>114</v>
      </c>
      <c r="D52" s="10" t="s">
        <v>242</v>
      </c>
      <c r="E52" s="11" t="n">
        <v>2000</v>
      </c>
      <c r="F52" s="7" t="n">
        <v>4.038</v>
      </c>
      <c r="G52" s="7" t="n">
        <v>3.47</v>
      </c>
      <c r="H52" s="7" t="n">
        <v>1.45</v>
      </c>
      <c r="I52" s="7"/>
      <c r="J52" s="7" t="n">
        <v>0.121</v>
      </c>
      <c r="K52" s="12" t="n">
        <f aca="false">G52</f>
        <v>3.47</v>
      </c>
      <c r="L52" s="13" t="n">
        <f aca="false">IF(H52="",0,H52*0.001)</f>
        <v>0.00145</v>
      </c>
      <c r="M52" s="13" t="n">
        <f aca="false">IF(I52="",0,I52*0.000001)</f>
        <v>0</v>
      </c>
      <c r="N52" s="13" t="n">
        <f aca="false">IF(J52="",0,J52*100000)</f>
        <v>12100</v>
      </c>
    </row>
    <row r="54" customFormat="false" ht="15" hidden="false" customHeight="false" outlineLevel="0" collapsed="false">
      <c r="A54" s="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9" min="7" style="0" width="9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4" t="s">
        <v>245</v>
      </c>
    </row>
    <row r="4" customFormat="false" ht="31.5" hidden="false" customHeight="true" outlineLevel="0" collapsed="false">
      <c r="A4" s="5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5" t="s">
        <v>126</v>
      </c>
      <c r="G4" s="5" t="s">
        <v>127</v>
      </c>
      <c r="H4" s="5" t="s">
        <v>129</v>
      </c>
      <c r="I4" s="5" t="s">
        <v>130</v>
      </c>
      <c r="J4" s="5" t="s">
        <v>131</v>
      </c>
      <c r="K4" s="5" t="s">
        <v>133</v>
      </c>
    </row>
    <row r="5" customFormat="false" ht="15" hidden="false" customHeight="false" outlineLevel="0" collapsed="false">
      <c r="A5" s="6" t="s">
        <v>246</v>
      </c>
      <c r="B5" s="6" t="s">
        <v>247</v>
      </c>
      <c r="C5" s="10" t="s">
        <v>248</v>
      </c>
      <c r="D5" s="8" t="n">
        <v>2000</v>
      </c>
      <c r="E5" s="7" t="n">
        <v>5.058</v>
      </c>
      <c r="F5" s="7" t="n">
        <v>6.104</v>
      </c>
      <c r="G5" s="7" t="n">
        <v>0.443</v>
      </c>
      <c r="H5" s="7" t="n">
        <v>-1.047</v>
      </c>
      <c r="I5" s="12" t="n">
        <f aca="false">F5</f>
        <v>6.104</v>
      </c>
      <c r="J5" s="13" t="n">
        <f aca="false">IF(G5="",0,G5*0.001)</f>
        <v>0.000443</v>
      </c>
      <c r="K5" s="13" t="n">
        <f aca="false">IF(H5="",0,H5*100000)</f>
        <v>-104700</v>
      </c>
    </row>
    <row r="6" customFormat="false" ht="15" hidden="false" customHeight="false" outlineLevel="0" collapsed="false">
      <c r="A6" s="6" t="s">
        <v>249</v>
      </c>
      <c r="B6" s="6" t="s">
        <v>250</v>
      </c>
      <c r="C6" s="10" t="s">
        <v>251</v>
      </c>
      <c r="D6" s="8" t="n">
        <v>1200</v>
      </c>
      <c r="E6" s="7" t="n">
        <v>9.848</v>
      </c>
      <c r="F6" s="7" t="n">
        <v>12.572</v>
      </c>
      <c r="G6" s="7" t="n">
        <v>2.637</v>
      </c>
      <c r="H6" s="7" t="n">
        <v>-3.12</v>
      </c>
      <c r="I6" s="12" t="n">
        <f aca="false">F6</f>
        <v>12.572</v>
      </c>
      <c r="J6" s="13" t="n">
        <f aca="false">IF(G6="",0,G6*0.001)</f>
        <v>0.002637</v>
      </c>
      <c r="K6" s="13" t="n">
        <f aca="false">IF(H6="",0,H6*100000)</f>
        <v>-312000</v>
      </c>
    </row>
    <row r="7" customFormat="false" ht="15" hidden="false" customHeight="false" outlineLevel="0" collapsed="false">
      <c r="A7" s="6" t="s">
        <v>252</v>
      </c>
      <c r="B7" s="6" t="s">
        <v>253</v>
      </c>
      <c r="C7" s="10" t="s">
        <v>254</v>
      </c>
      <c r="D7" s="8" t="n">
        <v>700</v>
      </c>
      <c r="E7" s="7" t="n">
        <v>11.217</v>
      </c>
      <c r="F7" s="7" t="n">
        <v>9.597</v>
      </c>
      <c r="G7" s="7" t="n">
        <v>5.435</v>
      </c>
      <c r="H7" s="7"/>
      <c r="I7" s="12" t="n">
        <f aca="false">F7</f>
        <v>9.597</v>
      </c>
      <c r="J7" s="13" t="n">
        <f aca="false">IF(G7="",0,G7*0.001)</f>
        <v>0.005435</v>
      </c>
      <c r="K7" s="13" t="n">
        <f aca="false">IF(H7="",0,H7*100000)</f>
        <v>0</v>
      </c>
    </row>
    <row r="8" customFormat="false" ht="15" hidden="false" customHeight="false" outlineLevel="0" collapsed="false">
      <c r="A8" s="6" t="s">
        <v>255</v>
      </c>
      <c r="B8" s="6" t="s">
        <v>256</v>
      </c>
      <c r="C8" s="10" t="s">
        <v>257</v>
      </c>
      <c r="D8" s="8" t="n">
        <v>720</v>
      </c>
      <c r="E8" s="7" t="n">
        <v>7.508</v>
      </c>
      <c r="F8" s="7" t="n">
        <v>8.254</v>
      </c>
      <c r="G8" s="7" t="n">
        <v>1.429</v>
      </c>
      <c r="H8" s="7" t="n">
        <v>-1.042</v>
      </c>
      <c r="I8" s="12" t="n">
        <f aca="false">F8</f>
        <v>8.254</v>
      </c>
      <c r="J8" s="13" t="n">
        <f aca="false">IF(G8="",0,G8*0.001)</f>
        <v>0.001429</v>
      </c>
      <c r="K8" s="13" t="n">
        <f aca="false">IF(H8="",0,H8*100000)</f>
        <v>-104200</v>
      </c>
    </row>
    <row r="9" customFormat="false" ht="15" hidden="false" customHeight="false" outlineLevel="0" collapsed="false">
      <c r="A9" s="6" t="s">
        <v>258</v>
      </c>
      <c r="B9" s="6" t="s">
        <v>259</v>
      </c>
      <c r="C9" s="10" t="s">
        <v>260</v>
      </c>
      <c r="D9" s="8" t="n">
        <v>1055</v>
      </c>
      <c r="E9" s="7" t="n">
        <v>8.762</v>
      </c>
      <c r="F9" s="7" t="n">
        <v>8.646</v>
      </c>
      <c r="G9" s="7" t="n">
        <v>1.53</v>
      </c>
      <c r="H9" s="7" t="n">
        <v>-0.302</v>
      </c>
      <c r="I9" s="12" t="n">
        <f aca="false">F9</f>
        <v>8.646</v>
      </c>
      <c r="J9" s="13" t="n">
        <f aca="false">IF(G9="",0,G9*0.001)</f>
        <v>0.00153</v>
      </c>
      <c r="K9" s="13" t="n">
        <f aca="false">IF(H9="",0,H9*100000)</f>
        <v>-30200</v>
      </c>
    </row>
    <row r="10" customFormat="false" ht="15" hidden="false" customHeight="false" outlineLevel="0" collapsed="false">
      <c r="A10" s="6" t="s">
        <v>261</v>
      </c>
      <c r="B10" s="6" t="s">
        <v>262</v>
      </c>
      <c r="C10" s="10" t="s">
        <v>263</v>
      </c>
      <c r="D10" s="8" t="n">
        <v>2000</v>
      </c>
      <c r="E10" s="7" t="n">
        <v>1.026</v>
      </c>
      <c r="F10" s="7" t="n">
        <v>1.771</v>
      </c>
      <c r="G10" s="7" t="n">
        <v>0.771</v>
      </c>
      <c r="H10" s="7" t="n">
        <v>-0.867</v>
      </c>
      <c r="I10" s="12" t="n">
        <f aca="false">F10</f>
        <v>1.771</v>
      </c>
      <c r="J10" s="13" t="n">
        <f aca="false">IF(G10="",0,G10*0.001)</f>
        <v>0.000771</v>
      </c>
      <c r="K10" s="13" t="n">
        <f aca="false">IF(H10="",0,H10*100000)</f>
        <v>-86700</v>
      </c>
    </row>
    <row r="11" customFormat="false" ht="15" hidden="false" customHeight="false" outlineLevel="0" collapsed="false">
      <c r="A11" s="6" t="s">
        <v>264</v>
      </c>
      <c r="B11" s="6" t="s">
        <v>265</v>
      </c>
      <c r="C11" s="10" t="s">
        <v>266</v>
      </c>
      <c r="D11" s="8" t="n">
        <v>1357</v>
      </c>
      <c r="E11" s="7" t="n">
        <v>2.959</v>
      </c>
      <c r="F11" s="7" t="n">
        <v>2.677</v>
      </c>
      <c r="G11" s="7" t="n">
        <v>0.815</v>
      </c>
      <c r="H11" s="7" t="n">
        <v>0.035</v>
      </c>
      <c r="I11" s="12" t="n">
        <f aca="false">F11</f>
        <v>2.677</v>
      </c>
      <c r="J11" s="13" t="n">
        <f aca="false">IF(G11="",0,G11*0.001)</f>
        <v>0.000815</v>
      </c>
      <c r="K11" s="13" t="n">
        <f aca="false">IF(H11="",0,H11*100000)</f>
        <v>3500</v>
      </c>
    </row>
    <row r="12" customFormat="false" ht="15" hidden="false" customHeight="false" outlineLevel="0" collapsed="false">
      <c r="A12" s="6" t="s">
        <v>267</v>
      </c>
      <c r="B12" s="6" t="s">
        <v>268</v>
      </c>
      <c r="C12" s="10" t="s">
        <v>269</v>
      </c>
      <c r="D12" s="8" t="n">
        <v>1400</v>
      </c>
      <c r="E12" s="7" t="n">
        <v>5.087</v>
      </c>
      <c r="F12" s="7" t="n">
        <v>5.78</v>
      </c>
      <c r="G12" s="7" t="n">
        <v>0.973</v>
      </c>
      <c r="H12" s="7" t="n">
        <v>-0.874</v>
      </c>
      <c r="I12" s="12" t="n">
        <f aca="false">F12</f>
        <v>5.78</v>
      </c>
      <c r="J12" s="13" t="n">
        <f aca="false">IF(G12="",0,G12*0.001)</f>
        <v>0.000973</v>
      </c>
      <c r="K12" s="13" t="n">
        <f aca="false">IF(H12="",0,H12*100000)</f>
        <v>-87400</v>
      </c>
    </row>
    <row r="13" customFormat="false" ht="15" hidden="false" customHeight="false" outlineLevel="0" collapsed="false">
      <c r="A13" s="6" t="s">
        <v>270</v>
      </c>
      <c r="B13" s="6" t="s">
        <v>271</v>
      </c>
      <c r="C13" s="10" t="s">
        <v>272</v>
      </c>
      <c r="D13" s="8" t="n">
        <v>1043</v>
      </c>
      <c r="E13" s="7" t="n">
        <v>3.005</v>
      </c>
      <c r="F13" s="7" t="n">
        <v>-0.111</v>
      </c>
      <c r="G13" s="7" t="n">
        <v>6.111</v>
      </c>
      <c r="H13" s="7" t="n">
        <v>1.15</v>
      </c>
      <c r="I13" s="12" t="n">
        <f aca="false">F13</f>
        <v>-0.111</v>
      </c>
      <c r="J13" s="13" t="n">
        <f aca="false">IF(G13="",0,G13*0.001)</f>
        <v>0.006111</v>
      </c>
      <c r="K13" s="13" t="n">
        <f aca="false">IF(H13="",0,H13*100000)</f>
        <v>115000</v>
      </c>
    </row>
    <row r="14" customFormat="false" ht="15" hidden="false" customHeight="false" outlineLevel="0" collapsed="false">
      <c r="A14" s="6" t="s">
        <v>273</v>
      </c>
      <c r="B14" s="6" t="s">
        <v>274</v>
      </c>
      <c r="C14" s="10" t="s">
        <v>275</v>
      </c>
      <c r="D14" s="8" t="n">
        <v>960</v>
      </c>
      <c r="E14" s="7" t="n">
        <v>12.48</v>
      </c>
      <c r="F14" s="7" t="n">
        <v>11.812</v>
      </c>
      <c r="G14" s="7" t="n">
        <v>9.697</v>
      </c>
      <c r="H14" s="7" t="n">
        <v>-1.976</v>
      </c>
      <c r="I14" s="12" t="n">
        <f aca="false">F14</f>
        <v>11.812</v>
      </c>
      <c r="J14" s="13" t="n">
        <f aca="false">IF(G14="",0,G14*0.001)</f>
        <v>0.009697</v>
      </c>
      <c r="K14" s="13" t="n">
        <f aca="false">IF(H14="",0,H14*100000)</f>
        <v>-197600</v>
      </c>
    </row>
    <row r="15" customFormat="false" ht="15" hidden="false" customHeight="false" outlineLevel="0" collapsed="false">
      <c r="A15" s="6" t="s">
        <v>276</v>
      </c>
      <c r="B15" s="6" t="s">
        <v>277</v>
      </c>
      <c r="C15" s="10" t="s">
        <v>278</v>
      </c>
      <c r="D15" s="8" t="n">
        <v>850</v>
      </c>
      <c r="E15" s="7" t="n">
        <v>18.138</v>
      </c>
      <c r="F15" s="7" t="n">
        <v>9.594</v>
      </c>
      <c r="G15" s="7" t="n">
        <v>27.112</v>
      </c>
      <c r="H15" s="7" t="n">
        <v>0.409</v>
      </c>
      <c r="I15" s="12" t="n">
        <f aca="false">F15</f>
        <v>9.594</v>
      </c>
      <c r="J15" s="13" t="n">
        <f aca="false">IF(G15="",0,G15*0.001)</f>
        <v>0.027112</v>
      </c>
      <c r="K15" s="13" t="n">
        <f aca="false">IF(H15="",0,H15*100000)</f>
        <v>40900</v>
      </c>
    </row>
    <row r="16" customFormat="false" ht="15" hidden="false" customHeight="false" outlineLevel="0" collapsed="false">
      <c r="A16" s="6" t="s">
        <v>279</v>
      </c>
      <c r="B16" s="6" t="s">
        <v>280</v>
      </c>
      <c r="C16" s="10" t="s">
        <v>281</v>
      </c>
      <c r="D16" s="8" t="n">
        <v>411</v>
      </c>
      <c r="E16" s="7" t="n">
        <v>6.573</v>
      </c>
      <c r="F16" s="7" t="n">
        <v>2.612</v>
      </c>
      <c r="G16" s="7" t="n">
        <v>13.286</v>
      </c>
      <c r="H16" s="7"/>
      <c r="I16" s="12" t="n">
        <f aca="false">F16</f>
        <v>2.612</v>
      </c>
      <c r="J16" s="13" t="n">
        <f aca="false">IF(G16="",0,G16*0.001)</f>
        <v>0.013286</v>
      </c>
      <c r="K16" s="13" t="n">
        <f aca="false">IF(H16="",0,H16*100000)</f>
        <v>0</v>
      </c>
    </row>
    <row r="17" customFormat="false" ht="15" hidden="false" customHeight="false" outlineLevel="0" collapsed="false">
      <c r="A17" s="6" t="s">
        <v>282</v>
      </c>
      <c r="B17" s="6" t="s">
        <v>283</v>
      </c>
      <c r="C17" s="10" t="s">
        <v>284</v>
      </c>
      <c r="D17" s="8" t="n">
        <v>386.8</v>
      </c>
      <c r="E17" s="7" t="n">
        <v>6.929</v>
      </c>
      <c r="F17" s="7" t="n">
        <v>6.481</v>
      </c>
      <c r="G17" s="7" t="n">
        <v>1.502</v>
      </c>
      <c r="H17" s="7"/>
      <c r="I17" s="12" t="n">
        <f aca="false">F17</f>
        <v>6.481</v>
      </c>
      <c r="J17" s="13" t="n">
        <f aca="false">IF(G17="",0,G17*0.001)</f>
        <v>0.001502</v>
      </c>
      <c r="K17" s="13" t="n">
        <f aca="false">IF(H17="",0,H17*100000)</f>
        <v>0</v>
      </c>
    </row>
    <row r="18" customFormat="false" ht="15" hidden="false" customHeight="false" outlineLevel="0" collapsed="false">
      <c r="A18" s="6" t="s">
        <v>285</v>
      </c>
      <c r="B18" s="6" t="s">
        <v>286</v>
      </c>
      <c r="C18" s="10" t="s">
        <v>287</v>
      </c>
      <c r="D18" s="8" t="n">
        <v>800</v>
      </c>
      <c r="E18" s="7" t="n">
        <v>5.778</v>
      </c>
      <c r="F18" s="7" t="n">
        <v>5.257</v>
      </c>
      <c r="G18" s="7" t="n">
        <v>2.476</v>
      </c>
      <c r="H18" s="7" t="n">
        <v>-0.193</v>
      </c>
      <c r="I18" s="12" t="n">
        <f aca="false">F18</f>
        <v>5.257</v>
      </c>
      <c r="J18" s="13" t="n">
        <f aca="false">IF(G18="",0,G18*0.001)</f>
        <v>0.002476</v>
      </c>
      <c r="K18" s="13" t="n">
        <f aca="false">IF(H18="",0,H18*100000)</f>
        <v>-19300</v>
      </c>
    </row>
    <row r="19" customFormat="false" ht="15" hidden="false" customHeight="false" outlineLevel="0" collapsed="false">
      <c r="A19" s="6" t="s">
        <v>288</v>
      </c>
      <c r="B19" s="6" t="s">
        <v>289</v>
      </c>
      <c r="C19" s="10" t="s">
        <v>290</v>
      </c>
      <c r="D19" s="8" t="n">
        <v>458</v>
      </c>
      <c r="E19" s="7" t="n">
        <v>10.741</v>
      </c>
      <c r="F19" s="7" t="n">
        <v>5.939</v>
      </c>
      <c r="G19" s="7" t="n">
        <v>16.105</v>
      </c>
      <c r="H19" s="7"/>
      <c r="I19" s="12" t="n">
        <f aca="false">F19</f>
        <v>5.939</v>
      </c>
      <c r="J19" s="13" t="n">
        <f aca="false">IF(G19="",0,G19*0.001)</f>
        <v>0.016105</v>
      </c>
      <c r="K19" s="13" t="n">
        <f aca="false">IF(H19="",0,H19*100000)</f>
        <v>0</v>
      </c>
    </row>
    <row r="20" customFormat="false" ht="15" hidden="false" customHeight="false" outlineLevel="0" collapsed="false">
      <c r="A20" s="6" t="s">
        <v>291</v>
      </c>
      <c r="B20" s="6" t="s">
        <v>292</v>
      </c>
      <c r="C20" s="10" t="s">
        <v>293</v>
      </c>
      <c r="D20" s="8" t="n">
        <v>371</v>
      </c>
      <c r="E20" s="7" t="n">
        <v>3.386</v>
      </c>
      <c r="F20" s="7" t="n">
        <v>1.988</v>
      </c>
      <c r="G20" s="7" t="n">
        <v>4.688</v>
      </c>
      <c r="H20" s="7"/>
      <c r="I20" s="12" t="n">
        <f aca="false">F20</f>
        <v>1.988</v>
      </c>
      <c r="J20" s="13" t="n">
        <f aca="false">IF(G20="",0,G20*0.001)</f>
        <v>0.004688</v>
      </c>
      <c r="K20" s="13" t="n">
        <f aca="false">IF(H20="",0,H20*100000)</f>
        <v>0</v>
      </c>
    </row>
    <row r="21" customFormat="false" ht="15" hidden="false" customHeight="false" outlineLevel="0" collapsed="false">
      <c r="A21" s="6" t="s">
        <v>294</v>
      </c>
      <c r="B21" s="6" t="s">
        <v>295</v>
      </c>
      <c r="C21" s="10" t="s">
        <v>296</v>
      </c>
      <c r="D21" s="8" t="n">
        <v>1073</v>
      </c>
      <c r="E21" s="7" t="n">
        <v>6.111</v>
      </c>
      <c r="F21" s="7" t="n">
        <v>5.526</v>
      </c>
      <c r="G21" s="7" t="n">
        <v>1.963</v>
      </c>
      <c r="H21" s="7"/>
      <c r="I21" s="12" t="n">
        <f aca="false">F21</f>
        <v>5.526</v>
      </c>
      <c r="J21" s="13" t="n">
        <f aca="false">IF(G21="",0,G21*0.001)</f>
        <v>0.001963</v>
      </c>
      <c r="K21" s="13" t="n">
        <f aca="false">IF(H21="",0,H21*100000)</f>
        <v>0</v>
      </c>
    </row>
    <row r="22" customFormat="false" ht="15" hidden="false" customHeight="false" outlineLevel="0" collapsed="false">
      <c r="A22" s="6" t="s">
        <v>297</v>
      </c>
      <c r="B22" s="6" t="s">
        <v>298</v>
      </c>
      <c r="C22" s="10" t="s">
        <v>299</v>
      </c>
      <c r="D22" s="8" t="n">
        <v>566</v>
      </c>
      <c r="E22" s="7" t="n">
        <v>7.177</v>
      </c>
      <c r="F22" s="7" t="n">
        <v>0.121</v>
      </c>
      <c r="G22" s="7" t="n">
        <v>16.316</v>
      </c>
      <c r="H22" s="7" t="n">
        <v>1.948</v>
      </c>
      <c r="I22" s="12" t="n">
        <f aca="false">F22</f>
        <v>0.121</v>
      </c>
      <c r="J22" s="13" t="n">
        <f aca="false">IF(G22="",0,G22*0.001)</f>
        <v>0.016316</v>
      </c>
      <c r="K22" s="13" t="n">
        <f aca="false">IF(H22="",0,H22*100000)</f>
        <v>194800</v>
      </c>
    </row>
    <row r="23" customFormat="false" ht="15" hidden="false" customHeight="false" outlineLevel="0" collapsed="false">
      <c r="A23" s="6" t="s">
        <v>300</v>
      </c>
      <c r="B23" s="6" t="s">
        <v>301</v>
      </c>
      <c r="C23" s="10" t="s">
        <v>302</v>
      </c>
      <c r="D23" s="8" t="n">
        <v>400</v>
      </c>
      <c r="E23" s="7" t="n">
        <v>10.539</v>
      </c>
      <c r="F23" s="7" t="n">
        <v>5.128</v>
      </c>
      <c r="G23" s="7" t="n">
        <v>18.148</v>
      </c>
      <c r="H23" s="7"/>
      <c r="I23" s="12" t="n">
        <f aca="false">F23</f>
        <v>5.128</v>
      </c>
      <c r="J23" s="13" t="n">
        <f aca="false">IF(G23="",0,G23*0.001)</f>
        <v>0.018148</v>
      </c>
      <c r="K23" s="13" t="n">
        <f aca="false">IF(H23="",0,H23*100000)</f>
        <v>0</v>
      </c>
    </row>
    <row r="24" customFormat="false" ht="15" hidden="false" customHeight="false" outlineLevel="0" collapsed="false">
      <c r="A24" s="6" t="s">
        <v>303</v>
      </c>
      <c r="B24" s="6" t="s">
        <v>304</v>
      </c>
      <c r="C24" s="10" t="s">
        <v>305</v>
      </c>
      <c r="D24" s="8" t="n">
        <v>368.3</v>
      </c>
      <c r="E24" s="7" t="n">
        <v>3.748</v>
      </c>
      <c r="F24" s="7" t="n">
        <v>4.114</v>
      </c>
      <c r="G24" s="7" t="n">
        <v>-1.728</v>
      </c>
      <c r="H24" s="7" t="n">
        <v>-0.783</v>
      </c>
      <c r="I24" s="12" t="n">
        <f aca="false">F24</f>
        <v>4.114</v>
      </c>
      <c r="J24" s="13" t="n">
        <f aca="false">IF(G24="",0,G24*0.001)</f>
        <v>-0.001728</v>
      </c>
      <c r="K24" s="13" t="n">
        <f aca="false">IF(H24="",0,H24*100000)</f>
        <v>-78300</v>
      </c>
    </row>
    <row r="25" customFormat="false" ht="15" hidden="false" customHeight="false" outlineLevel="0" collapsed="false">
      <c r="A25" s="6" t="s">
        <v>306</v>
      </c>
      <c r="B25" s="6" t="s">
        <v>307</v>
      </c>
      <c r="C25" s="10" t="s">
        <v>308</v>
      </c>
      <c r="D25" s="8" t="n">
        <v>847</v>
      </c>
      <c r="E25" s="7" t="n">
        <v>5.345</v>
      </c>
      <c r="F25" s="7" t="n">
        <v>4.871</v>
      </c>
      <c r="G25" s="7" t="n">
        <v>5.365</v>
      </c>
      <c r="H25" s="7" t="n">
        <v>-1.001</v>
      </c>
      <c r="I25" s="12" t="n">
        <f aca="false">F25</f>
        <v>4.871</v>
      </c>
      <c r="J25" s="13" t="n">
        <f aca="false">IF(G25="",0,G25*0.001)</f>
        <v>0.005365</v>
      </c>
      <c r="K25" s="13" t="n">
        <f aca="false">IF(H25="",0,H25*100000)</f>
        <v>-100100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4" t="s">
        <v>310</v>
      </c>
    </row>
    <row r="4" customFormat="false" ht="31.5" hidden="false" customHeight="true" outlineLevel="0" collapsed="false">
      <c r="A4" s="5" t="s">
        <v>121</v>
      </c>
      <c r="B4" s="5" t="s">
        <v>122</v>
      </c>
      <c r="C4" s="5" t="s">
        <v>123</v>
      </c>
      <c r="D4" s="5" t="s">
        <v>125</v>
      </c>
      <c r="E4" s="5" t="s">
        <v>126</v>
      </c>
      <c r="F4" s="5" t="s">
        <v>127</v>
      </c>
      <c r="G4" s="5" t="s">
        <v>128</v>
      </c>
      <c r="H4" s="5" t="s">
        <v>130</v>
      </c>
      <c r="I4" s="5" t="s">
        <v>131</v>
      </c>
      <c r="J4" s="5" t="s">
        <v>132</v>
      </c>
    </row>
    <row r="5" customFormat="false" ht="15" hidden="false" customHeight="false" outlineLevel="0" collapsed="false">
      <c r="A5" s="6" t="s">
        <v>200</v>
      </c>
      <c r="B5" s="6" t="s">
        <v>115</v>
      </c>
      <c r="C5" s="10" t="s">
        <v>201</v>
      </c>
      <c r="D5" s="7" t="n">
        <v>9.718</v>
      </c>
      <c r="E5" s="7" t="n">
        <v>22.626</v>
      </c>
      <c r="F5" s="9" t="n">
        <v>-100.75</v>
      </c>
      <c r="G5" s="9" t="n">
        <v>192.71</v>
      </c>
      <c r="H5" s="12" t="n">
        <f aca="false">E5</f>
        <v>22.626</v>
      </c>
      <c r="I5" s="13" t="n">
        <f aca="false">F5*0.001</f>
        <v>-0.10075</v>
      </c>
      <c r="J5" s="13" t="n">
        <f aca="false">G5*0.000001</f>
        <v>0.00019271</v>
      </c>
    </row>
    <row r="6" customFormat="false" ht="15" hidden="false" customHeight="false" outlineLevel="0" collapsed="false">
      <c r="A6" s="6" t="s">
        <v>311</v>
      </c>
      <c r="B6" s="6" t="s">
        <v>312</v>
      </c>
      <c r="C6" s="10" t="s">
        <v>313</v>
      </c>
      <c r="D6" s="7" t="n">
        <v>23.07</v>
      </c>
      <c r="E6" s="7" t="n">
        <v>15.819</v>
      </c>
      <c r="F6" s="9" t="n">
        <v>29.03</v>
      </c>
      <c r="G6" s="9" t="n">
        <v>-15.8</v>
      </c>
      <c r="H6" s="12" t="n">
        <f aca="false">E6</f>
        <v>15.819</v>
      </c>
      <c r="I6" s="13" t="n">
        <f aca="false">F6*0.001</f>
        <v>0.02903</v>
      </c>
      <c r="J6" s="13" t="n">
        <f aca="false">G6*0.000001</f>
        <v>-1.58E-005</v>
      </c>
    </row>
    <row r="7" customFormat="false" ht="15" hidden="false" customHeight="false" outlineLevel="0" collapsed="false">
      <c r="A7" s="6" t="s">
        <v>177</v>
      </c>
      <c r="B7" s="6" t="s">
        <v>55</v>
      </c>
      <c r="C7" s="10" t="s">
        <v>178</v>
      </c>
      <c r="D7" s="7" t="n">
        <v>16.157</v>
      </c>
      <c r="E7" s="7" t="n">
        <v>-0.747</v>
      </c>
      <c r="F7" s="9" t="n">
        <v>67.96</v>
      </c>
      <c r="G7" s="9" t="n">
        <v>-37.78</v>
      </c>
      <c r="H7" s="12" t="n">
        <f aca="false">E7</f>
        <v>-0.747</v>
      </c>
      <c r="I7" s="13" t="n">
        <f aca="false">F7*0.001</f>
        <v>0.06796</v>
      </c>
      <c r="J7" s="13" t="n">
        <f aca="false">G7*0.000001</f>
        <v>-3.778E-005</v>
      </c>
    </row>
    <row r="8" customFormat="false" ht="15" hidden="false" customHeight="false" outlineLevel="0" collapsed="false">
      <c r="A8" s="6" t="s">
        <v>179</v>
      </c>
      <c r="B8" s="6" t="s">
        <v>52</v>
      </c>
      <c r="C8" s="10" t="s">
        <v>180</v>
      </c>
      <c r="D8" s="7" t="n">
        <v>14.779</v>
      </c>
      <c r="E8" s="7" t="n">
        <v>22.711</v>
      </c>
      <c r="F8" s="9" t="n">
        <v>-87.96</v>
      </c>
      <c r="G8" s="9" t="n">
        <v>205.79</v>
      </c>
      <c r="H8" s="12" t="n">
        <f aca="false">E8</f>
        <v>22.711</v>
      </c>
      <c r="I8" s="13" t="n">
        <f aca="false">F8*0.001</f>
        <v>-0.08796</v>
      </c>
      <c r="J8" s="13" t="n">
        <f aca="false">G8*0.000001</f>
        <v>0.00020579</v>
      </c>
    </row>
    <row r="9" customFormat="false" ht="15" hidden="false" customHeight="false" outlineLevel="0" collapsed="false">
      <c r="A9" s="6" t="s">
        <v>314</v>
      </c>
      <c r="B9" s="6" t="s">
        <v>88</v>
      </c>
      <c r="C9" s="10" t="s">
        <v>315</v>
      </c>
      <c r="D9" s="7" t="n">
        <v>15.751</v>
      </c>
      <c r="E9" s="7" t="n">
        <v>21.155</v>
      </c>
      <c r="F9" s="9" t="n">
        <v>-48.28</v>
      </c>
      <c r="G9" s="9" t="n">
        <v>101.14</v>
      </c>
      <c r="H9" s="12" t="n">
        <f aca="false">E9</f>
        <v>21.155</v>
      </c>
      <c r="I9" s="13" t="n">
        <f aca="false">F9*0.001</f>
        <v>-0.04828</v>
      </c>
      <c r="J9" s="13" t="n">
        <f aca="false">G9*0.000001</f>
        <v>0.00010114</v>
      </c>
    </row>
    <row r="10" customFormat="false" ht="15" hidden="false" customHeight="false" outlineLevel="0" collapsed="false">
      <c r="A10" s="6" t="s">
        <v>316</v>
      </c>
      <c r="B10" s="6" t="s">
        <v>93</v>
      </c>
      <c r="C10" s="10" t="s">
        <v>317</v>
      </c>
      <c r="D10" s="7" t="n">
        <v>18.24</v>
      </c>
      <c r="E10" s="7" t="n">
        <v>11.278</v>
      </c>
      <c r="F10" s="9" t="n">
        <v>32.86</v>
      </c>
      <c r="G10" s="9" t="n">
        <v>-31.9</v>
      </c>
      <c r="H10" s="12" t="n">
        <f aca="false">E10</f>
        <v>11.278</v>
      </c>
      <c r="I10" s="13" t="n">
        <f aca="false">F10*0.001</f>
        <v>0.03286</v>
      </c>
      <c r="J10" s="13" t="n">
        <f aca="false">G10*0.000001</f>
        <v>-3.19E-005</v>
      </c>
    </row>
    <row r="11" customFormat="false" ht="15" hidden="false" customHeight="false" outlineLevel="0" collapsed="false">
      <c r="A11" s="6" t="s">
        <v>318</v>
      </c>
      <c r="B11" s="6" t="s">
        <v>89</v>
      </c>
      <c r="C11" s="10" t="s">
        <v>319</v>
      </c>
      <c r="D11" s="7" t="n">
        <v>13.806</v>
      </c>
      <c r="E11" s="7" t="n">
        <v>19.215</v>
      </c>
      <c r="F11" s="9" t="n">
        <v>-42.89</v>
      </c>
      <c r="G11" s="9" t="n">
        <v>83.01</v>
      </c>
      <c r="H11" s="12" t="n">
        <f aca="false">E11</f>
        <v>19.215</v>
      </c>
      <c r="I11" s="13" t="n">
        <f aca="false">F11*0.001</f>
        <v>-0.04289</v>
      </c>
      <c r="J11" s="13" t="n">
        <f aca="false">G11*0.000001</f>
        <v>8.301E-005</v>
      </c>
    </row>
    <row r="12" customFormat="false" ht="15" hidden="false" customHeight="false" outlineLevel="0" collapsed="false">
      <c r="A12" s="6" t="s">
        <v>181</v>
      </c>
      <c r="B12" s="6" t="s">
        <v>42</v>
      </c>
      <c r="C12" s="10" t="s">
        <v>165</v>
      </c>
      <c r="D12" s="7" t="n">
        <v>18.737</v>
      </c>
      <c r="E12" s="7" t="n">
        <v>-9.048</v>
      </c>
      <c r="F12" s="9" t="n">
        <v>141.38</v>
      </c>
      <c r="G12" s="9" t="n">
        <v>-161.62</v>
      </c>
      <c r="H12" s="12" t="n">
        <f aca="false">E12</f>
        <v>-9.048</v>
      </c>
      <c r="I12" s="13" t="n">
        <f aca="false">F12*0.001</f>
        <v>0.14138</v>
      </c>
      <c r="J12" s="13" t="n">
        <f aca="false">G12*0.000001</f>
        <v>-0.00016162</v>
      </c>
    </row>
    <row r="13" customFormat="false" ht="15" hidden="false" customHeight="false" outlineLevel="0" collapsed="false">
      <c r="A13" s="6" t="s">
        <v>183</v>
      </c>
      <c r="B13" s="6" t="s">
        <v>74</v>
      </c>
      <c r="C13" s="10" t="s">
        <v>184</v>
      </c>
      <c r="D13" s="7" t="n">
        <v>13.444</v>
      </c>
      <c r="E13" s="7" t="n">
        <v>33.866</v>
      </c>
      <c r="F13" s="9" t="n">
        <v>-172.6</v>
      </c>
      <c r="G13" s="9" t="n">
        <v>349.17</v>
      </c>
      <c r="H13" s="12" t="n">
        <f aca="false">E13</f>
        <v>33.866</v>
      </c>
      <c r="I13" s="13" t="n">
        <f aca="false">F13*0.001</f>
        <v>-0.1726</v>
      </c>
      <c r="J13" s="13" t="n">
        <f aca="false">G13*0.000001</f>
        <v>0.00034917</v>
      </c>
    </row>
    <row r="14" customFormat="false" ht="15" hidden="false" customHeight="false" outlineLevel="0" collapsed="false">
      <c r="A14" s="6" t="s">
        <v>187</v>
      </c>
      <c r="B14" s="6" t="s">
        <v>188</v>
      </c>
      <c r="C14" s="10" t="s">
        <v>174</v>
      </c>
      <c r="D14" s="7" t="n">
        <v>10.59</v>
      </c>
      <c r="E14" s="7" t="n">
        <v>21.039</v>
      </c>
      <c r="F14" s="9" t="n">
        <v>-86.41</v>
      </c>
      <c r="G14" s="9" t="n">
        <v>172.28</v>
      </c>
      <c r="H14" s="12" t="n">
        <f aca="false">E14</f>
        <v>21.039</v>
      </c>
      <c r="I14" s="13" t="n">
        <f aca="false">F14*0.001</f>
        <v>-0.08641</v>
      </c>
      <c r="J14" s="13" t="n">
        <f aca="false">G14*0.000001</f>
        <v>0.00017228</v>
      </c>
    </row>
    <row r="15" customFormat="false" ht="15" hidden="false" customHeight="false" outlineLevel="0" collapsed="false">
      <c r="A15" s="6" t="s">
        <v>192</v>
      </c>
      <c r="B15" s="6" t="s">
        <v>73</v>
      </c>
      <c r="C15" s="10" t="s">
        <v>193</v>
      </c>
      <c r="D15" s="7" t="n">
        <v>9.798</v>
      </c>
      <c r="E15" s="7" t="n">
        <v>13.431</v>
      </c>
      <c r="F15" s="9" t="n">
        <v>-51.28</v>
      </c>
      <c r="G15" s="9" t="n">
        <v>131.13</v>
      </c>
      <c r="H15" s="12" t="n">
        <f aca="false">E15</f>
        <v>13.431</v>
      </c>
      <c r="I15" s="13" t="n">
        <f aca="false">F15*0.001</f>
        <v>-0.05128</v>
      </c>
      <c r="J15" s="13" t="n">
        <f aca="false">G15*0.000001</f>
        <v>0.00013113</v>
      </c>
    </row>
    <row r="16" customFormat="false" ht="15" hidden="false" customHeight="false" outlineLevel="0" collapsed="false">
      <c r="A16" s="6" t="s">
        <v>320</v>
      </c>
      <c r="B16" s="6" t="s">
        <v>320</v>
      </c>
      <c r="C16" s="10" t="s">
        <v>321</v>
      </c>
      <c r="D16" s="7" t="n">
        <v>16.921</v>
      </c>
      <c r="E16" s="7" t="n">
        <v>41.653</v>
      </c>
      <c r="F16" s="9" t="n">
        <v>-210.32</v>
      </c>
      <c r="G16" s="9" t="n">
        <v>427.2</v>
      </c>
      <c r="H16" s="12" t="n">
        <f aca="false">E16</f>
        <v>41.653</v>
      </c>
      <c r="I16" s="13" t="n">
        <f aca="false">F16*0.001</f>
        <v>-0.21032</v>
      </c>
      <c r="J16" s="13" t="n">
        <f aca="false">G16*0.000001</f>
        <v>0.0004272</v>
      </c>
    </row>
    <row r="17" customFormat="false" ht="15" hidden="false" customHeight="false" outlineLevel="0" collapsed="false">
      <c r="A17" s="6" t="s">
        <v>239</v>
      </c>
      <c r="B17" s="6" t="s">
        <v>109</v>
      </c>
      <c r="C17" s="10" t="s">
        <v>240</v>
      </c>
      <c r="D17" s="7" t="n">
        <v>30.408</v>
      </c>
      <c r="E17" s="7" t="n">
        <v>-2.93</v>
      </c>
      <c r="F17" s="9" t="n">
        <v>137.08</v>
      </c>
      <c r="G17" s="9" t="n">
        <v>-84.73</v>
      </c>
      <c r="H17" s="12" t="n">
        <f aca="false">E17</f>
        <v>-2.93</v>
      </c>
      <c r="I17" s="13" t="n">
        <f aca="false">F17*0.001</f>
        <v>0.13708</v>
      </c>
      <c r="J17" s="13" t="n">
        <f aca="false">G17*0.000001</f>
        <v>-8.473E-005</v>
      </c>
    </row>
    <row r="18" customFormat="false" ht="15" hidden="false" customHeight="false" outlineLevel="0" collapsed="false">
      <c r="A18" s="6" t="s">
        <v>196</v>
      </c>
      <c r="B18" s="6" t="s">
        <v>56</v>
      </c>
      <c r="C18" s="10" t="s">
        <v>197</v>
      </c>
      <c r="D18" s="7" t="n">
        <v>18.611</v>
      </c>
      <c r="E18" s="7" t="n">
        <v>15.133</v>
      </c>
      <c r="F18" s="9" t="n">
        <v>6.79</v>
      </c>
      <c r="G18" s="9" t="n">
        <v>16.35</v>
      </c>
      <c r="H18" s="12" t="n">
        <f aca="false">E18</f>
        <v>15.133</v>
      </c>
      <c r="I18" s="13" t="n">
        <f aca="false">F18*0.001</f>
        <v>0.00679</v>
      </c>
      <c r="J18" s="13" t="n">
        <f aca="false">G18*0.000001</f>
        <v>1.635E-005</v>
      </c>
    </row>
    <row r="19" customFormat="false" ht="15" hidden="false" customHeight="false" outlineLevel="0" collapsed="false">
      <c r="A19" s="6" t="s">
        <v>241</v>
      </c>
      <c r="B19" s="6" t="s">
        <v>114</v>
      </c>
      <c r="C19" s="10" t="s">
        <v>242</v>
      </c>
      <c r="D19" s="7" t="n">
        <v>9.069</v>
      </c>
      <c r="E19" s="7" t="n">
        <v>8.712</v>
      </c>
      <c r="F19" s="9" t="n">
        <v>1.25</v>
      </c>
      <c r="G19" s="9" t="n">
        <v>-0.18</v>
      </c>
      <c r="H19" s="12" t="n">
        <f aca="false">E19</f>
        <v>8.712</v>
      </c>
      <c r="I19" s="13" t="n">
        <f aca="false">F19*0.001</f>
        <v>0.00125</v>
      </c>
      <c r="J19" s="13" t="n">
        <f aca="false">G19*0.000001</f>
        <v>-1.8E-007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8" min="7" style="0" width="15"/>
  </cols>
  <sheetData>
    <row r="1" customFormat="false" ht="17.35" hidden="false" customHeight="false" outlineLevel="0" collapsed="false">
      <c r="A1" s="1" t="s">
        <v>322</v>
      </c>
    </row>
    <row r="2" customFormat="false" ht="15" hidden="false" customHeight="false" outlineLevel="0" collapsed="false">
      <c r="A2" s="4" t="s">
        <v>323</v>
      </c>
    </row>
    <row r="4" customFormat="false" ht="31.5" hidden="false" customHeight="true" outlineLevel="0" collapsed="false">
      <c r="A4" s="5" t="s">
        <v>120</v>
      </c>
      <c r="B4" s="5" t="s">
        <v>121</v>
      </c>
      <c r="C4" s="5" t="s">
        <v>122</v>
      </c>
      <c r="D4" s="5" t="s">
        <v>123</v>
      </c>
      <c r="E4" s="5" t="s">
        <v>324</v>
      </c>
      <c r="F4" s="5" t="s">
        <v>325</v>
      </c>
      <c r="G4" s="5" t="s">
        <v>326</v>
      </c>
      <c r="H4" s="5" t="s">
        <v>327</v>
      </c>
    </row>
    <row r="5" customFormat="false" ht="15" hidden="false" customHeight="false" outlineLevel="0" collapsed="false">
      <c r="A5" s="6" t="s">
        <v>134</v>
      </c>
      <c r="B5" s="6" t="s">
        <v>135</v>
      </c>
      <c r="C5" s="6" t="s">
        <v>29</v>
      </c>
      <c r="D5" s="10" t="s">
        <v>136</v>
      </c>
      <c r="E5" s="6" t="s">
        <v>328</v>
      </c>
      <c r="F5" s="14" t="str">
        <f aca="false">D5&amp;"("&amp;E5&amp;")"</f>
        <v>CH4(g)</v>
      </c>
      <c r="G5" s="15" t="n">
        <v>-74520</v>
      </c>
      <c r="H5" s="15" t="n">
        <v>-50460</v>
      </c>
    </row>
    <row r="6" customFormat="false" ht="15" hidden="false" customHeight="false" outlineLevel="0" collapsed="false">
      <c r="A6" s="6" t="s">
        <v>134</v>
      </c>
      <c r="B6" s="6" t="s">
        <v>137</v>
      </c>
      <c r="C6" s="6" t="s">
        <v>30</v>
      </c>
      <c r="D6" s="10" t="s">
        <v>138</v>
      </c>
      <c r="E6" s="6" t="s">
        <v>328</v>
      </c>
      <c r="F6" s="14" t="str">
        <f aca="false">D6&amp;"("&amp;E6&amp;")"</f>
        <v>C2H6(g)</v>
      </c>
      <c r="G6" s="15" t="n">
        <v>-83820</v>
      </c>
      <c r="H6" s="15" t="n">
        <v>-31855</v>
      </c>
    </row>
    <row r="7" customFormat="false" ht="15" hidden="false" customHeight="false" outlineLevel="0" collapsed="false">
      <c r="A7" s="6" t="s">
        <v>134</v>
      </c>
      <c r="B7" s="6" t="s">
        <v>139</v>
      </c>
      <c r="C7" s="6" t="s">
        <v>31</v>
      </c>
      <c r="D7" s="10" t="s">
        <v>140</v>
      </c>
      <c r="E7" s="6" t="s">
        <v>328</v>
      </c>
      <c r="F7" s="14" t="str">
        <f aca="false">D7&amp;"("&amp;E7&amp;")"</f>
        <v>C3H8(g)</v>
      </c>
      <c r="G7" s="15" t="n">
        <v>-104680</v>
      </c>
      <c r="H7" s="15" t="n">
        <v>-24290</v>
      </c>
    </row>
    <row r="8" customFormat="false" ht="15" hidden="false" customHeight="false" outlineLevel="0" collapsed="false">
      <c r="A8" s="6" t="s">
        <v>134</v>
      </c>
      <c r="B8" s="6" t="s">
        <v>141</v>
      </c>
      <c r="C8" s="6" t="s">
        <v>32</v>
      </c>
      <c r="D8" s="10" t="s">
        <v>142</v>
      </c>
      <c r="E8" s="6" t="s">
        <v>328</v>
      </c>
      <c r="F8" s="14" t="str">
        <f aca="false">D8&amp;"("&amp;E8&amp;")"</f>
        <v>C4H10(g)</v>
      </c>
      <c r="G8" s="15" t="n">
        <v>-125790</v>
      </c>
      <c r="H8" s="15" t="n">
        <v>-16570</v>
      </c>
    </row>
    <row r="9" customFormat="false" ht="15" hidden="false" customHeight="false" outlineLevel="0" collapsed="false">
      <c r="A9" s="6" t="s">
        <v>134</v>
      </c>
      <c r="B9" s="6" t="s">
        <v>146</v>
      </c>
      <c r="C9" s="6" t="s">
        <v>33</v>
      </c>
      <c r="D9" s="10" t="s">
        <v>147</v>
      </c>
      <c r="E9" s="6" t="s">
        <v>328</v>
      </c>
      <c r="F9" s="14" t="str">
        <f aca="false">D9&amp;"("&amp;E9&amp;")"</f>
        <v>C5H12(g)</v>
      </c>
      <c r="G9" s="15" t="n">
        <v>-146760</v>
      </c>
      <c r="H9" s="15" t="n">
        <v>-8650</v>
      </c>
    </row>
    <row r="10" customFormat="false" ht="15" hidden="false" customHeight="false" outlineLevel="0" collapsed="false">
      <c r="A10" s="6" t="s">
        <v>134</v>
      </c>
      <c r="B10" s="6" t="s">
        <v>148</v>
      </c>
      <c r="C10" s="6" t="s">
        <v>34</v>
      </c>
      <c r="D10" s="10" t="s">
        <v>149</v>
      </c>
      <c r="E10" s="6" t="s">
        <v>328</v>
      </c>
      <c r="F10" s="14" t="str">
        <f aca="false">D10&amp;"("&amp;E10&amp;")"</f>
        <v>C6H14(g)</v>
      </c>
      <c r="G10" s="15" t="n">
        <v>-166920</v>
      </c>
      <c r="H10" s="15" t="n">
        <v>150</v>
      </c>
    </row>
    <row r="11" customFormat="false" ht="15" hidden="false" customHeight="false" outlineLevel="0" collapsed="false">
      <c r="A11" s="6" t="s">
        <v>134</v>
      </c>
      <c r="B11" s="6" t="s">
        <v>150</v>
      </c>
      <c r="C11" s="6" t="s">
        <v>35</v>
      </c>
      <c r="D11" s="10" t="s">
        <v>151</v>
      </c>
      <c r="E11" s="6" t="s">
        <v>328</v>
      </c>
      <c r="F11" s="14" t="str">
        <f aca="false">D11&amp;"("&amp;E11&amp;")"</f>
        <v>C7H16(g)</v>
      </c>
      <c r="G11" s="15" t="n">
        <v>-187780</v>
      </c>
      <c r="H11" s="15" t="n">
        <v>8260</v>
      </c>
    </row>
    <row r="12" customFormat="false" ht="15" hidden="false" customHeight="false" outlineLevel="0" collapsed="false">
      <c r="A12" s="6" t="s">
        <v>134</v>
      </c>
      <c r="B12" s="6" t="s">
        <v>152</v>
      </c>
      <c r="C12" s="6" t="s">
        <v>36</v>
      </c>
      <c r="D12" s="10" t="s">
        <v>153</v>
      </c>
      <c r="E12" s="6" t="s">
        <v>328</v>
      </c>
      <c r="F12" s="14" t="str">
        <f aca="false">D12&amp;"("&amp;E12&amp;")"</f>
        <v>C8H18(g)</v>
      </c>
      <c r="G12" s="15" t="n">
        <v>-208750</v>
      </c>
      <c r="H12" s="15" t="n">
        <v>16260</v>
      </c>
    </row>
    <row r="13" customFormat="false" ht="15" hidden="false" customHeight="false" outlineLevel="0" collapsed="false">
      <c r="A13" s="6" t="s">
        <v>154</v>
      </c>
      <c r="B13" s="6" t="s">
        <v>155</v>
      </c>
      <c r="C13" s="6" t="s">
        <v>45</v>
      </c>
      <c r="D13" s="10" t="s">
        <v>156</v>
      </c>
      <c r="E13" s="6" t="s">
        <v>328</v>
      </c>
      <c r="F13" s="14" t="str">
        <f aca="false">D13&amp;"("&amp;E13&amp;")"</f>
        <v>C2H4(g)</v>
      </c>
      <c r="G13" s="15" t="n">
        <v>52510</v>
      </c>
      <c r="H13" s="15" t="n">
        <v>68460</v>
      </c>
    </row>
    <row r="14" customFormat="false" ht="15" hidden="false" customHeight="false" outlineLevel="0" collapsed="false">
      <c r="A14" s="6" t="s">
        <v>154</v>
      </c>
      <c r="B14" s="6" t="s">
        <v>157</v>
      </c>
      <c r="C14" s="6" t="s">
        <v>46</v>
      </c>
      <c r="D14" s="10" t="s">
        <v>158</v>
      </c>
      <c r="E14" s="6" t="s">
        <v>328</v>
      </c>
      <c r="F14" s="14" t="str">
        <f aca="false">D14&amp;"("&amp;E14&amp;")"</f>
        <v>C3H6(g)</v>
      </c>
      <c r="G14" s="15" t="n">
        <v>19710</v>
      </c>
      <c r="H14" s="15" t="n">
        <v>62205</v>
      </c>
    </row>
    <row r="15" customFormat="false" ht="15" hidden="false" customHeight="false" outlineLevel="0" collapsed="false">
      <c r="A15" s="6" t="s">
        <v>154</v>
      </c>
      <c r="B15" s="6" t="s">
        <v>159</v>
      </c>
      <c r="C15" s="6" t="s">
        <v>47</v>
      </c>
      <c r="D15" s="10" t="s">
        <v>160</v>
      </c>
      <c r="E15" s="6" t="s">
        <v>328</v>
      </c>
      <c r="F15" s="14" t="str">
        <f aca="false">D15&amp;"("&amp;E15&amp;")"</f>
        <v>C4H8(g)</v>
      </c>
      <c r="G15" s="15" t="n">
        <v>-540</v>
      </c>
      <c r="H15" s="15" t="n">
        <v>70340</v>
      </c>
    </row>
    <row r="16" customFormat="false" ht="15" hidden="false" customHeight="false" outlineLevel="0" collapsed="false">
      <c r="A16" s="6" t="s">
        <v>154</v>
      </c>
      <c r="B16" s="6" t="s">
        <v>161</v>
      </c>
      <c r="C16" s="6" t="s">
        <v>162</v>
      </c>
      <c r="D16" s="10" t="s">
        <v>163</v>
      </c>
      <c r="E16" s="6" t="s">
        <v>328</v>
      </c>
      <c r="F16" s="14" t="str">
        <f aca="false">D16&amp;"("&amp;E16&amp;")"</f>
        <v>C5H10(g)</v>
      </c>
      <c r="G16" s="15" t="n">
        <v>-21280</v>
      </c>
      <c r="H16" s="15" t="n">
        <v>78410</v>
      </c>
    </row>
    <row r="17" customFormat="false" ht="15" hidden="false" customHeight="false" outlineLevel="0" collapsed="false">
      <c r="A17" s="6" t="s">
        <v>154</v>
      </c>
      <c r="B17" s="6" t="s">
        <v>164</v>
      </c>
      <c r="C17" s="6" t="s">
        <v>50</v>
      </c>
      <c r="D17" s="10" t="s">
        <v>165</v>
      </c>
      <c r="E17" s="6" t="s">
        <v>328</v>
      </c>
      <c r="F17" s="14" t="str">
        <f aca="false">D17&amp;"("&amp;E17&amp;")"</f>
        <v>C6H12(g)</v>
      </c>
      <c r="G17" s="15" t="n">
        <v>-41950</v>
      </c>
      <c r="H17" s="15" t="n">
        <v>86830</v>
      </c>
    </row>
    <row r="18" customFormat="false" ht="15" hidden="false" customHeight="false" outlineLevel="0" collapsed="false">
      <c r="A18" s="6" t="s">
        <v>154</v>
      </c>
      <c r="B18" s="6" t="s">
        <v>166</v>
      </c>
      <c r="C18" s="6" t="s">
        <v>167</v>
      </c>
      <c r="D18" s="10" t="s">
        <v>168</v>
      </c>
      <c r="E18" s="6" t="s">
        <v>328</v>
      </c>
      <c r="F18" s="14" t="str">
        <f aca="false">D18&amp;"("&amp;E18&amp;")"</f>
        <v>C7H14(g)</v>
      </c>
      <c r="G18" s="15" t="n">
        <v>-62760</v>
      </c>
      <c r="H18" s="15"/>
    </row>
    <row r="19" customFormat="false" ht="15" hidden="false" customHeight="false" outlineLevel="0" collapsed="false">
      <c r="A19" s="6" t="s">
        <v>172</v>
      </c>
      <c r="B19" s="6" t="s">
        <v>173</v>
      </c>
      <c r="C19" s="6" t="s">
        <v>66</v>
      </c>
      <c r="D19" s="10" t="s">
        <v>174</v>
      </c>
      <c r="E19" s="6" t="s">
        <v>328</v>
      </c>
      <c r="F19" s="14" t="str">
        <f aca="false">D19&amp;"("&amp;E19&amp;")"</f>
        <v>C2H4O(g)</v>
      </c>
      <c r="G19" s="15" t="n">
        <v>-166190</v>
      </c>
      <c r="H19" s="15" t="n">
        <v>-128860</v>
      </c>
    </row>
    <row r="20" customFormat="false" ht="15" hidden="false" customHeight="false" outlineLevel="0" collapsed="false">
      <c r="A20" s="6" t="s">
        <v>172</v>
      </c>
      <c r="B20" s="6" t="s">
        <v>329</v>
      </c>
      <c r="C20" s="6" t="s">
        <v>81</v>
      </c>
      <c r="D20" s="10" t="s">
        <v>330</v>
      </c>
      <c r="E20" s="6" t="s">
        <v>331</v>
      </c>
      <c r="F20" s="14" t="str">
        <f aca="false">D20&amp;"("&amp;E20&amp;")"</f>
        <v>C2H4O2(l)</v>
      </c>
      <c r="G20" s="15" t="n">
        <v>-484500</v>
      </c>
      <c r="H20" s="15" t="n">
        <v>-389900</v>
      </c>
    </row>
    <row r="21" customFormat="false" ht="15" hidden="false" customHeight="false" outlineLevel="0" collapsed="false">
      <c r="A21" s="6" t="s">
        <v>172</v>
      </c>
      <c r="B21" s="6" t="s">
        <v>175</v>
      </c>
      <c r="C21" s="6" t="s">
        <v>54</v>
      </c>
      <c r="D21" s="10" t="s">
        <v>176</v>
      </c>
      <c r="E21" s="6" t="s">
        <v>328</v>
      </c>
      <c r="F21" s="14" t="str">
        <f aca="false">D21&amp;"("&amp;E21&amp;")"</f>
        <v>C2H2(g)</v>
      </c>
      <c r="G21" s="15" t="n">
        <v>227480</v>
      </c>
      <c r="H21" s="15" t="n">
        <v>209970</v>
      </c>
    </row>
    <row r="22" customFormat="false" ht="15" hidden="false" customHeight="false" outlineLevel="0" collapsed="false">
      <c r="A22" s="6" t="s">
        <v>172</v>
      </c>
      <c r="B22" s="6" t="s">
        <v>177</v>
      </c>
      <c r="C22" s="6" t="s">
        <v>55</v>
      </c>
      <c r="D22" s="10" t="s">
        <v>178</v>
      </c>
      <c r="E22" s="6" t="s">
        <v>328</v>
      </c>
      <c r="F22" s="14" t="str">
        <f aca="false">D22&amp;"("&amp;E22&amp;")"</f>
        <v>C6H6(g)</v>
      </c>
      <c r="G22" s="15" t="n">
        <v>82930</v>
      </c>
      <c r="H22" s="15" t="n">
        <v>129665</v>
      </c>
    </row>
    <row r="23" customFormat="false" ht="15" hidden="false" customHeight="false" outlineLevel="0" collapsed="false">
      <c r="A23" s="6" t="s">
        <v>172</v>
      </c>
      <c r="B23" s="6" t="s">
        <v>177</v>
      </c>
      <c r="C23" s="6" t="s">
        <v>55</v>
      </c>
      <c r="D23" s="10" t="s">
        <v>178</v>
      </c>
      <c r="E23" s="6" t="s">
        <v>331</v>
      </c>
      <c r="F23" s="14" t="str">
        <f aca="false">D23&amp;"("&amp;E23&amp;")"</f>
        <v>C6H6(l)</v>
      </c>
      <c r="G23" s="15" t="n">
        <v>49080</v>
      </c>
      <c r="H23" s="15" t="n">
        <v>124520</v>
      </c>
    </row>
    <row r="24" customFormat="false" ht="15" hidden="false" customHeight="false" outlineLevel="0" collapsed="false">
      <c r="A24" s="6" t="s">
        <v>172</v>
      </c>
      <c r="B24" s="6" t="s">
        <v>179</v>
      </c>
      <c r="C24" s="6" t="s">
        <v>52</v>
      </c>
      <c r="D24" s="10" t="s">
        <v>180</v>
      </c>
      <c r="E24" s="6" t="s">
        <v>328</v>
      </c>
      <c r="F24" s="14" t="str">
        <f aca="false">D24&amp;"("&amp;E24&amp;")"</f>
        <v>C4H6(g)</v>
      </c>
      <c r="G24" s="15" t="n">
        <v>109240</v>
      </c>
      <c r="H24" s="15" t="n">
        <v>149795</v>
      </c>
    </row>
    <row r="25" customFormat="false" ht="15" hidden="false" customHeight="false" outlineLevel="0" collapsed="false">
      <c r="A25" s="6" t="s">
        <v>172</v>
      </c>
      <c r="B25" s="6" t="s">
        <v>181</v>
      </c>
      <c r="C25" s="6" t="s">
        <v>42</v>
      </c>
      <c r="D25" s="10" t="s">
        <v>182</v>
      </c>
      <c r="E25" s="6" t="s">
        <v>328</v>
      </c>
      <c r="F25" s="14" t="str">
        <f aca="false">D25&amp;"("&amp;E25&amp;")"</f>
        <v>C6H12 (ciclo)(g)</v>
      </c>
      <c r="G25" s="15" t="n">
        <v>-123140</v>
      </c>
      <c r="H25" s="15" t="n">
        <v>31920</v>
      </c>
    </row>
    <row r="26" customFormat="false" ht="15" hidden="false" customHeight="false" outlineLevel="0" collapsed="false">
      <c r="A26" s="6" t="s">
        <v>172</v>
      </c>
      <c r="B26" s="6" t="s">
        <v>181</v>
      </c>
      <c r="C26" s="6" t="s">
        <v>42</v>
      </c>
      <c r="D26" s="10" t="s">
        <v>182</v>
      </c>
      <c r="E26" s="6" t="s">
        <v>331</v>
      </c>
      <c r="F26" s="14" t="str">
        <f aca="false">D26&amp;"("&amp;E26&amp;")"</f>
        <v>C6H12 (ciclo)(l)</v>
      </c>
      <c r="G26" s="15" t="n">
        <v>-156230</v>
      </c>
      <c r="H26" s="15" t="n">
        <v>26850</v>
      </c>
    </row>
    <row r="27" customFormat="false" ht="15" hidden="false" customHeight="false" outlineLevel="0" collapsed="false">
      <c r="A27" s="6" t="s">
        <v>172</v>
      </c>
      <c r="B27" s="6" t="s">
        <v>332</v>
      </c>
      <c r="C27" s="6" t="s">
        <v>333</v>
      </c>
      <c r="D27" s="10" t="s">
        <v>334</v>
      </c>
      <c r="E27" s="6" t="s">
        <v>331</v>
      </c>
      <c r="F27" s="14" t="str">
        <f aca="false">D27&amp;"("&amp;E27&amp;")"</f>
        <v>C2H6O2(l)</v>
      </c>
      <c r="G27" s="15" t="n">
        <v>-454800</v>
      </c>
      <c r="H27" s="15" t="n">
        <v>-323080</v>
      </c>
    </row>
    <row r="28" customFormat="false" ht="15" hidden="false" customHeight="false" outlineLevel="0" collapsed="false">
      <c r="A28" s="6" t="s">
        <v>172</v>
      </c>
      <c r="B28" s="6" t="s">
        <v>183</v>
      </c>
      <c r="C28" s="6" t="s">
        <v>74</v>
      </c>
      <c r="D28" s="10" t="s">
        <v>184</v>
      </c>
      <c r="E28" s="6" t="s">
        <v>328</v>
      </c>
      <c r="F28" s="14" t="str">
        <f aca="false">D28&amp;"("&amp;E28&amp;")"</f>
        <v>C2H6O(g)</v>
      </c>
      <c r="G28" s="15" t="n">
        <v>-235100</v>
      </c>
      <c r="H28" s="15" t="n">
        <v>-168490</v>
      </c>
    </row>
    <row r="29" customFormat="false" ht="15" hidden="false" customHeight="false" outlineLevel="0" collapsed="false">
      <c r="A29" s="6" t="s">
        <v>172</v>
      </c>
      <c r="B29" s="6" t="s">
        <v>183</v>
      </c>
      <c r="C29" s="6" t="s">
        <v>74</v>
      </c>
      <c r="D29" s="10" t="s">
        <v>184</v>
      </c>
      <c r="E29" s="6" t="s">
        <v>331</v>
      </c>
      <c r="F29" s="14" t="str">
        <f aca="false">D29&amp;"("&amp;E29&amp;")"</f>
        <v>C2H6O(l)</v>
      </c>
      <c r="G29" s="15" t="n">
        <v>-277690</v>
      </c>
      <c r="H29" s="15" t="n">
        <v>-174780</v>
      </c>
    </row>
    <row r="30" customFormat="false" ht="15" hidden="false" customHeight="false" outlineLevel="0" collapsed="false">
      <c r="A30" s="6" t="s">
        <v>172</v>
      </c>
      <c r="B30" s="6" t="s">
        <v>185</v>
      </c>
      <c r="C30" s="6" t="s">
        <v>57</v>
      </c>
      <c r="D30" s="10" t="s">
        <v>186</v>
      </c>
      <c r="E30" s="6" t="s">
        <v>328</v>
      </c>
      <c r="F30" s="14" t="str">
        <f aca="false">D30&amp;"("&amp;E30&amp;")"</f>
        <v>C8H10(g)</v>
      </c>
      <c r="G30" s="15" t="n">
        <v>29920</v>
      </c>
      <c r="H30" s="15" t="n">
        <v>130890</v>
      </c>
    </row>
    <row r="31" customFormat="false" ht="15" hidden="false" customHeight="false" outlineLevel="0" collapsed="false">
      <c r="A31" s="6" t="s">
        <v>172</v>
      </c>
      <c r="B31" s="6" t="s">
        <v>187</v>
      </c>
      <c r="C31" s="6" t="s">
        <v>188</v>
      </c>
      <c r="D31" s="10" t="s">
        <v>189</v>
      </c>
      <c r="E31" s="6" t="s">
        <v>328</v>
      </c>
      <c r="F31" s="14" t="str">
        <f aca="false">D31&amp;"("&amp;E31&amp;")"</f>
        <v>C2H4O (oxido)(g)</v>
      </c>
      <c r="G31" s="15" t="n">
        <v>-52630</v>
      </c>
      <c r="H31" s="15" t="n">
        <v>-13010</v>
      </c>
    </row>
    <row r="32" customFormat="false" ht="15" hidden="false" customHeight="false" outlineLevel="0" collapsed="false">
      <c r="A32" s="6" t="s">
        <v>172</v>
      </c>
      <c r="B32" s="6" t="s">
        <v>190</v>
      </c>
      <c r="C32" s="6" t="s">
        <v>65</v>
      </c>
      <c r="D32" s="10" t="s">
        <v>191</v>
      </c>
      <c r="E32" s="6" t="s">
        <v>328</v>
      </c>
      <c r="F32" s="14" t="str">
        <f aca="false">D32&amp;"("&amp;E32&amp;")"</f>
        <v>CH2O(g)</v>
      </c>
      <c r="G32" s="15" t="n">
        <v>-108570</v>
      </c>
      <c r="H32" s="15" t="n">
        <v>-102530</v>
      </c>
    </row>
    <row r="33" customFormat="false" ht="15" hidden="false" customHeight="false" outlineLevel="0" collapsed="false">
      <c r="A33" s="6" t="s">
        <v>172</v>
      </c>
      <c r="B33" s="6" t="s">
        <v>192</v>
      </c>
      <c r="C33" s="6" t="s">
        <v>73</v>
      </c>
      <c r="D33" s="10" t="s">
        <v>193</v>
      </c>
      <c r="E33" s="6" t="s">
        <v>328</v>
      </c>
      <c r="F33" s="14" t="str">
        <f aca="false">D33&amp;"("&amp;E33&amp;")"</f>
        <v>CH4O(g)</v>
      </c>
      <c r="G33" s="15" t="n">
        <v>-200660</v>
      </c>
      <c r="H33" s="15" t="n">
        <v>-161960</v>
      </c>
    </row>
    <row r="34" customFormat="false" ht="15" hidden="false" customHeight="false" outlineLevel="0" collapsed="false">
      <c r="A34" s="6" t="s">
        <v>172</v>
      </c>
      <c r="B34" s="6" t="s">
        <v>192</v>
      </c>
      <c r="C34" s="6" t="s">
        <v>73</v>
      </c>
      <c r="D34" s="10" t="s">
        <v>193</v>
      </c>
      <c r="E34" s="6" t="s">
        <v>331</v>
      </c>
      <c r="F34" s="14" t="str">
        <f aca="false">D34&amp;"("&amp;E34&amp;")"</f>
        <v>CH4O(l)</v>
      </c>
      <c r="G34" s="15" t="n">
        <v>-238660</v>
      </c>
      <c r="H34" s="15" t="n">
        <v>-166270</v>
      </c>
    </row>
    <row r="35" customFormat="false" ht="15" hidden="false" customHeight="false" outlineLevel="0" collapsed="false">
      <c r="A35" s="6" t="s">
        <v>172</v>
      </c>
      <c r="B35" s="6" t="s">
        <v>335</v>
      </c>
      <c r="C35" s="6" t="s">
        <v>44</v>
      </c>
      <c r="D35" s="10" t="s">
        <v>336</v>
      </c>
      <c r="E35" s="6" t="s">
        <v>328</v>
      </c>
      <c r="F35" s="14" t="str">
        <f aca="false">D35&amp;"("&amp;E35&amp;")"</f>
        <v>C7H14 (ciclo)(g)</v>
      </c>
      <c r="G35" s="15" t="n">
        <v>-154770</v>
      </c>
      <c r="H35" s="15" t="n">
        <v>27480</v>
      </c>
    </row>
    <row r="36" customFormat="false" ht="15" hidden="false" customHeight="false" outlineLevel="0" collapsed="false">
      <c r="A36" s="6" t="s">
        <v>172</v>
      </c>
      <c r="B36" s="6" t="s">
        <v>335</v>
      </c>
      <c r="C36" s="6" t="s">
        <v>44</v>
      </c>
      <c r="D36" s="10" t="s">
        <v>336</v>
      </c>
      <c r="E36" s="6" t="s">
        <v>331</v>
      </c>
      <c r="F36" s="14" t="str">
        <f aca="false">D36&amp;"("&amp;E36&amp;")"</f>
        <v>C7H14 (ciclo)(l)</v>
      </c>
      <c r="G36" s="15" t="n">
        <v>-190160</v>
      </c>
      <c r="H36" s="15" t="n">
        <v>20560</v>
      </c>
    </row>
    <row r="37" customFormat="false" ht="15" hidden="false" customHeight="false" outlineLevel="0" collapsed="false">
      <c r="A37" s="6" t="s">
        <v>172</v>
      </c>
      <c r="B37" s="6" t="s">
        <v>194</v>
      </c>
      <c r="C37" s="6" t="s">
        <v>62</v>
      </c>
      <c r="D37" s="10" t="s">
        <v>195</v>
      </c>
      <c r="E37" s="6" t="s">
        <v>328</v>
      </c>
      <c r="F37" s="14" t="str">
        <f aca="false">D37&amp;"("&amp;E37&amp;")"</f>
        <v>C8H8(g)</v>
      </c>
      <c r="G37" s="15" t="n">
        <v>147360</v>
      </c>
      <c r="H37" s="15" t="n">
        <v>213900</v>
      </c>
    </row>
    <row r="38" customFormat="false" ht="15" hidden="false" customHeight="false" outlineLevel="0" collapsed="false">
      <c r="A38" s="6" t="s">
        <v>172</v>
      </c>
      <c r="B38" s="6" t="s">
        <v>196</v>
      </c>
      <c r="C38" s="6" t="s">
        <v>56</v>
      </c>
      <c r="D38" s="10" t="s">
        <v>197</v>
      </c>
      <c r="E38" s="6" t="s">
        <v>328</v>
      </c>
      <c r="F38" s="14" t="str">
        <f aca="false">D38&amp;"("&amp;E38&amp;")"</f>
        <v>C7H8(g)</v>
      </c>
      <c r="G38" s="15" t="n">
        <v>50170</v>
      </c>
      <c r="H38" s="15" t="n">
        <v>122050</v>
      </c>
    </row>
    <row r="39" customFormat="false" ht="15" hidden="false" customHeight="false" outlineLevel="0" collapsed="false">
      <c r="A39" s="6" t="s">
        <v>172</v>
      </c>
      <c r="B39" s="6" t="s">
        <v>196</v>
      </c>
      <c r="C39" s="6" t="s">
        <v>56</v>
      </c>
      <c r="D39" s="10" t="s">
        <v>197</v>
      </c>
      <c r="E39" s="6" t="s">
        <v>331</v>
      </c>
      <c r="F39" s="14" t="str">
        <f aca="false">D39&amp;"("&amp;E39&amp;")"</f>
        <v>C7H8(l)</v>
      </c>
      <c r="G39" s="15" t="n">
        <v>12180</v>
      </c>
      <c r="H39" s="15" t="n">
        <v>113630</v>
      </c>
    </row>
    <row r="40" customFormat="false" ht="15" hidden="false" customHeight="false" outlineLevel="0" collapsed="false">
      <c r="A40" s="6" t="s">
        <v>198</v>
      </c>
      <c r="B40" s="6" t="s">
        <v>200</v>
      </c>
      <c r="C40" s="6" t="s">
        <v>115</v>
      </c>
      <c r="D40" s="10" t="s">
        <v>201</v>
      </c>
      <c r="E40" s="6" t="s">
        <v>328</v>
      </c>
      <c r="F40" s="14" t="str">
        <f aca="false">D40&amp;"("&amp;E40&amp;")"</f>
        <v>NH3(g)</v>
      </c>
      <c r="G40" s="15" t="n">
        <v>-46110</v>
      </c>
      <c r="H40" s="15" t="n">
        <v>-16450</v>
      </c>
    </row>
    <row r="41" customFormat="false" ht="15" hidden="false" customHeight="false" outlineLevel="0" collapsed="false">
      <c r="A41" s="6" t="s">
        <v>198</v>
      </c>
      <c r="B41" s="6" t="s">
        <v>200</v>
      </c>
      <c r="C41" s="6" t="s">
        <v>115</v>
      </c>
      <c r="D41" s="10" t="s">
        <v>201</v>
      </c>
      <c r="E41" s="6" t="s">
        <v>337</v>
      </c>
      <c r="F41" s="14" t="str">
        <f aca="false">D41&amp;"("&amp;E41&amp;")"</f>
        <v>NH3(ac)</v>
      </c>
      <c r="G41" s="15"/>
      <c r="H41" s="15" t="n">
        <v>-26500</v>
      </c>
    </row>
    <row r="42" customFormat="false" ht="15" hidden="false" customHeight="false" outlineLevel="0" collapsed="false">
      <c r="A42" s="6" t="s">
        <v>198</v>
      </c>
      <c r="B42" s="6" t="s">
        <v>255</v>
      </c>
      <c r="C42" s="6" t="s">
        <v>256</v>
      </c>
      <c r="D42" s="10" t="s">
        <v>257</v>
      </c>
      <c r="E42" s="6" t="s">
        <v>338</v>
      </c>
      <c r="F42" s="14" t="str">
        <f aca="false">D42&amp;"("&amp;E42&amp;")"</f>
        <v>CaC2(s)</v>
      </c>
      <c r="G42" s="15" t="n">
        <v>-59800</v>
      </c>
      <c r="H42" s="15" t="n">
        <v>-64900</v>
      </c>
    </row>
    <row r="43" customFormat="false" ht="15" hidden="false" customHeight="false" outlineLevel="0" collapsed="false">
      <c r="A43" s="6" t="s">
        <v>198</v>
      </c>
      <c r="B43" s="6" t="s">
        <v>249</v>
      </c>
      <c r="C43" s="6" t="s">
        <v>250</v>
      </c>
      <c r="D43" s="10" t="s">
        <v>251</v>
      </c>
      <c r="E43" s="6" t="s">
        <v>338</v>
      </c>
      <c r="F43" s="14" t="str">
        <f aca="false">D43&amp;"("&amp;E43&amp;")"</f>
        <v>CaCO3(s)</v>
      </c>
      <c r="G43" s="15" t="n">
        <v>-1206920</v>
      </c>
      <c r="H43" s="15" t="n">
        <v>-1128790</v>
      </c>
    </row>
    <row r="44" customFormat="false" ht="15" hidden="false" customHeight="false" outlineLevel="0" collapsed="false">
      <c r="A44" s="6" t="s">
        <v>198</v>
      </c>
      <c r="B44" s="6" t="s">
        <v>258</v>
      </c>
      <c r="C44" s="6" t="s">
        <v>259</v>
      </c>
      <c r="D44" s="10" t="s">
        <v>260</v>
      </c>
      <c r="E44" s="6" t="s">
        <v>338</v>
      </c>
      <c r="F44" s="14" t="str">
        <f aca="false">D44&amp;"("&amp;E44&amp;")"</f>
        <v>CaCl2(s)</v>
      </c>
      <c r="G44" s="15" t="n">
        <v>-795800</v>
      </c>
      <c r="H44" s="15" t="n">
        <v>-748100</v>
      </c>
    </row>
    <row r="45" customFormat="false" ht="15" hidden="false" customHeight="false" outlineLevel="0" collapsed="false">
      <c r="A45" s="6" t="s">
        <v>198</v>
      </c>
      <c r="B45" s="6" t="s">
        <v>258</v>
      </c>
      <c r="C45" s="6" t="s">
        <v>259</v>
      </c>
      <c r="D45" s="10" t="s">
        <v>260</v>
      </c>
      <c r="E45" s="6" t="s">
        <v>337</v>
      </c>
      <c r="F45" s="14" t="str">
        <f aca="false">D45&amp;"("&amp;E45&amp;")"</f>
        <v>CaCl2(ac)</v>
      </c>
      <c r="G45" s="15"/>
      <c r="H45" s="15" t="n">
        <v>-8101900</v>
      </c>
    </row>
    <row r="46" customFormat="false" ht="15" hidden="false" customHeight="false" outlineLevel="0" collapsed="false">
      <c r="A46" s="6" t="s">
        <v>198</v>
      </c>
      <c r="B46" s="6" t="s">
        <v>258</v>
      </c>
      <c r="C46" s="6" t="s">
        <v>259</v>
      </c>
      <c r="D46" s="10" t="s">
        <v>339</v>
      </c>
      <c r="E46" s="6" t="s">
        <v>338</v>
      </c>
      <c r="F46" s="14" t="str">
        <f aca="false">D46&amp;"("&amp;E46&amp;")"</f>
        <v>CaCl2·6H2O(s)</v>
      </c>
      <c r="G46" s="15" t="n">
        <v>-2607900</v>
      </c>
      <c r="H46" s="15"/>
    </row>
    <row r="47" customFormat="false" ht="15" hidden="false" customHeight="false" outlineLevel="0" collapsed="false">
      <c r="A47" s="6" t="s">
        <v>198</v>
      </c>
      <c r="B47" s="6" t="s">
        <v>252</v>
      </c>
      <c r="C47" s="6" t="s">
        <v>253</v>
      </c>
      <c r="D47" s="10" t="s">
        <v>254</v>
      </c>
      <c r="E47" s="6" t="s">
        <v>338</v>
      </c>
      <c r="F47" s="14" t="str">
        <f aca="false">D47&amp;"("&amp;E47&amp;")"</f>
        <v>Ca(OH)2(s)</v>
      </c>
      <c r="G47" s="15" t="n">
        <v>-986090</v>
      </c>
      <c r="H47" s="15" t="n">
        <v>-898490</v>
      </c>
    </row>
    <row r="48" customFormat="false" ht="15" hidden="false" customHeight="false" outlineLevel="0" collapsed="false">
      <c r="A48" s="6" t="s">
        <v>198</v>
      </c>
      <c r="B48" s="6" t="s">
        <v>252</v>
      </c>
      <c r="C48" s="6" t="s">
        <v>253</v>
      </c>
      <c r="D48" s="10" t="s">
        <v>254</v>
      </c>
      <c r="E48" s="6" t="s">
        <v>337</v>
      </c>
      <c r="F48" s="14" t="str">
        <f aca="false">D48&amp;"("&amp;E48&amp;")"</f>
        <v>Ca(OH)2(ac)</v>
      </c>
      <c r="G48" s="15"/>
      <c r="H48" s="15" t="n">
        <v>-868070</v>
      </c>
    </row>
    <row r="49" customFormat="false" ht="15" hidden="false" customHeight="false" outlineLevel="0" collapsed="false">
      <c r="A49" s="6" t="s">
        <v>198</v>
      </c>
      <c r="B49" s="6" t="s">
        <v>246</v>
      </c>
      <c r="C49" s="6" t="s">
        <v>247</v>
      </c>
      <c r="D49" s="10" t="s">
        <v>248</v>
      </c>
      <c r="E49" s="6" t="s">
        <v>338</v>
      </c>
      <c r="F49" s="14" t="str">
        <f aca="false">D49&amp;"("&amp;E49&amp;")"</f>
        <v>CaO(s)</v>
      </c>
      <c r="G49" s="15" t="n">
        <v>-635090</v>
      </c>
      <c r="H49" s="15" t="n">
        <v>-604030</v>
      </c>
    </row>
    <row r="50" customFormat="false" ht="15" hidden="false" customHeight="false" outlineLevel="0" collapsed="false">
      <c r="A50" s="6" t="s">
        <v>198</v>
      </c>
      <c r="B50" s="6" t="s">
        <v>207</v>
      </c>
      <c r="C50" s="6" t="s">
        <v>105</v>
      </c>
      <c r="D50" s="10" t="s">
        <v>208</v>
      </c>
      <c r="E50" s="6" t="s">
        <v>328</v>
      </c>
      <c r="F50" s="14" t="str">
        <f aca="false">D50&amp;"("&amp;E50&amp;")"</f>
        <v>CO2(g)</v>
      </c>
      <c r="G50" s="15" t="n">
        <v>-393509</v>
      </c>
      <c r="H50" s="15" t="n">
        <v>-394359</v>
      </c>
    </row>
    <row r="51" customFormat="false" ht="15" hidden="false" customHeight="false" outlineLevel="0" collapsed="false">
      <c r="A51" s="6" t="s">
        <v>198</v>
      </c>
      <c r="B51" s="6" t="s">
        <v>205</v>
      </c>
      <c r="C51" s="6" t="s">
        <v>104</v>
      </c>
      <c r="D51" s="10" t="s">
        <v>206</v>
      </c>
      <c r="E51" s="6" t="s">
        <v>328</v>
      </c>
      <c r="F51" s="14" t="str">
        <f aca="false">D51&amp;"("&amp;E51&amp;")"</f>
        <v>CO(g)</v>
      </c>
      <c r="G51" s="15" t="n">
        <v>-110525</v>
      </c>
      <c r="H51" s="15" t="n">
        <v>-137169</v>
      </c>
    </row>
    <row r="52" customFormat="false" ht="15" hidden="false" customHeight="false" outlineLevel="0" collapsed="false">
      <c r="A52" s="6" t="s">
        <v>198</v>
      </c>
      <c r="B52" s="6" t="s">
        <v>340</v>
      </c>
      <c r="C52" s="6" t="s">
        <v>341</v>
      </c>
      <c r="D52" s="10" t="s">
        <v>218</v>
      </c>
      <c r="E52" s="6" t="s">
        <v>328</v>
      </c>
      <c r="F52" s="14" t="str">
        <f aca="false">D52&amp;"("&amp;E52&amp;")"</f>
        <v>HCl(g)</v>
      </c>
      <c r="G52" s="15" t="n">
        <v>-92307</v>
      </c>
      <c r="H52" s="15" t="n">
        <v>-95299</v>
      </c>
    </row>
    <row r="53" customFormat="false" ht="15" hidden="false" customHeight="false" outlineLevel="0" collapsed="false">
      <c r="A53" s="6" t="s">
        <v>198</v>
      </c>
      <c r="B53" s="6" t="s">
        <v>219</v>
      </c>
      <c r="C53" s="6" t="s">
        <v>113</v>
      </c>
      <c r="D53" s="10" t="s">
        <v>220</v>
      </c>
      <c r="E53" s="6" t="s">
        <v>328</v>
      </c>
      <c r="F53" s="14" t="str">
        <f aca="false">D53&amp;"("&amp;E53&amp;")"</f>
        <v>HCN(g)</v>
      </c>
      <c r="G53" s="15" t="n">
        <v>135100</v>
      </c>
      <c r="H53" s="15" t="n">
        <v>124700</v>
      </c>
    </row>
    <row r="54" customFormat="false" ht="15" hidden="false" customHeight="false" outlineLevel="0" collapsed="false">
      <c r="A54" s="6" t="s">
        <v>198</v>
      </c>
      <c r="B54" s="6" t="s">
        <v>215</v>
      </c>
      <c r="C54" s="6" t="s">
        <v>107</v>
      </c>
      <c r="D54" s="10" t="s">
        <v>216</v>
      </c>
      <c r="E54" s="6" t="s">
        <v>328</v>
      </c>
      <c r="F54" s="14" t="str">
        <f aca="false">D54&amp;"("&amp;E54&amp;")"</f>
        <v>H2S(g)</v>
      </c>
      <c r="G54" s="15" t="n">
        <v>-20630</v>
      </c>
      <c r="H54" s="15" t="n">
        <v>-33560</v>
      </c>
    </row>
    <row r="55" customFormat="false" ht="15" hidden="false" customHeight="false" outlineLevel="0" collapsed="false">
      <c r="A55" s="6" t="s">
        <v>198</v>
      </c>
      <c r="B55" s="6" t="s">
        <v>342</v>
      </c>
      <c r="C55" s="6" t="s">
        <v>343</v>
      </c>
      <c r="D55" s="10" t="s">
        <v>344</v>
      </c>
      <c r="E55" s="6" t="s">
        <v>338</v>
      </c>
      <c r="F55" s="14" t="str">
        <f aca="false">D55&amp;"("&amp;E55&amp;")"</f>
        <v>FeO(s)</v>
      </c>
      <c r="G55" s="15" t="n">
        <v>-272000</v>
      </c>
      <c r="H55" s="15"/>
    </row>
    <row r="56" customFormat="false" ht="15" hidden="false" customHeight="false" outlineLevel="0" collapsed="false">
      <c r="A56" s="6" t="s">
        <v>198</v>
      </c>
      <c r="B56" s="6" t="s">
        <v>273</v>
      </c>
      <c r="C56" s="6" t="s">
        <v>274</v>
      </c>
      <c r="D56" s="10" t="s">
        <v>275</v>
      </c>
      <c r="E56" s="6" t="s">
        <v>338</v>
      </c>
      <c r="F56" s="14" t="str">
        <f aca="false">D56&amp;"("&amp;E56&amp;")"</f>
        <v>Fe2O3(s)</v>
      </c>
      <c r="G56" s="15" t="n">
        <v>-824200</v>
      </c>
      <c r="H56" s="15" t="n">
        <v>-742200</v>
      </c>
    </row>
    <row r="57" customFormat="false" ht="15" hidden="false" customHeight="false" outlineLevel="0" collapsed="false">
      <c r="A57" s="6" t="s">
        <v>198</v>
      </c>
      <c r="B57" s="6" t="s">
        <v>276</v>
      </c>
      <c r="C57" s="6" t="s">
        <v>277</v>
      </c>
      <c r="D57" s="10" t="s">
        <v>278</v>
      </c>
      <c r="E57" s="6" t="s">
        <v>338</v>
      </c>
      <c r="F57" s="14" t="str">
        <f aca="false">D57&amp;"("&amp;E57&amp;")"</f>
        <v>Fe3O4(s)</v>
      </c>
      <c r="G57" s="15" t="n">
        <v>-1118400</v>
      </c>
      <c r="H57" s="15" t="n">
        <v>-1015400</v>
      </c>
    </row>
    <row r="58" customFormat="false" ht="15" hidden="false" customHeight="false" outlineLevel="0" collapsed="false">
      <c r="A58" s="6" t="s">
        <v>198</v>
      </c>
      <c r="B58" s="6" t="s">
        <v>345</v>
      </c>
      <c r="C58" s="6" t="s">
        <v>346</v>
      </c>
      <c r="D58" s="10" t="s">
        <v>347</v>
      </c>
      <c r="E58" s="6" t="s">
        <v>338</v>
      </c>
      <c r="F58" s="14" t="str">
        <f aca="false">D58&amp;"("&amp;E58&amp;")"</f>
        <v>FeS2(s)</v>
      </c>
      <c r="G58" s="15" t="n">
        <v>-178200</v>
      </c>
      <c r="H58" s="15" t="n">
        <v>-166900</v>
      </c>
    </row>
    <row r="59" customFormat="false" ht="15" hidden="false" customHeight="false" outlineLevel="0" collapsed="false">
      <c r="A59" s="6" t="s">
        <v>198</v>
      </c>
      <c r="B59" s="6" t="s">
        <v>285</v>
      </c>
      <c r="C59" s="6" t="s">
        <v>286</v>
      </c>
      <c r="D59" s="10" t="s">
        <v>287</v>
      </c>
      <c r="E59" s="6" t="s">
        <v>338</v>
      </c>
      <c r="F59" s="14" t="str">
        <f aca="false">D59&amp;"("&amp;E59&amp;")"</f>
        <v>LiCl(s)</v>
      </c>
      <c r="G59" s="15" t="n">
        <v>-408610</v>
      </c>
      <c r="H59" s="15"/>
    </row>
    <row r="60" customFormat="false" ht="15" hidden="false" customHeight="false" outlineLevel="0" collapsed="false">
      <c r="A60" s="6" t="s">
        <v>198</v>
      </c>
      <c r="B60" s="6" t="s">
        <v>285</v>
      </c>
      <c r="C60" s="6" t="s">
        <v>286</v>
      </c>
      <c r="D60" s="10" t="s">
        <v>348</v>
      </c>
      <c r="E60" s="6" t="s">
        <v>338</v>
      </c>
      <c r="F60" s="14" t="str">
        <f aca="false">D60&amp;"("&amp;E60&amp;")"</f>
        <v>LiCl·H2O(s)</v>
      </c>
      <c r="G60" s="15" t="n">
        <v>-712580</v>
      </c>
      <c r="H60" s="15"/>
    </row>
    <row r="61" customFormat="false" ht="15" hidden="false" customHeight="false" outlineLevel="0" collapsed="false">
      <c r="A61" s="6" t="s">
        <v>198</v>
      </c>
      <c r="B61" s="6" t="s">
        <v>285</v>
      </c>
      <c r="C61" s="6" t="s">
        <v>286</v>
      </c>
      <c r="D61" s="10" t="s">
        <v>349</v>
      </c>
      <c r="E61" s="6" t="s">
        <v>338</v>
      </c>
      <c r="F61" s="14" t="str">
        <f aca="false">D61&amp;"("&amp;E61&amp;")"</f>
        <v>LiCl·2H2O(s)</v>
      </c>
      <c r="G61" s="15" t="n">
        <v>-1012650</v>
      </c>
      <c r="H61" s="15"/>
    </row>
    <row r="62" customFormat="false" ht="15" hidden="false" customHeight="false" outlineLevel="0" collapsed="false">
      <c r="A62" s="6" t="s">
        <v>198</v>
      </c>
      <c r="B62" s="6" t="s">
        <v>285</v>
      </c>
      <c r="C62" s="6" t="s">
        <v>286</v>
      </c>
      <c r="D62" s="10" t="s">
        <v>350</v>
      </c>
      <c r="E62" s="6" t="s">
        <v>338</v>
      </c>
      <c r="F62" s="14" t="str">
        <f aca="false">D62&amp;"("&amp;E62&amp;")"</f>
        <v>LiCl·3H2O(s)</v>
      </c>
      <c r="G62" s="15" t="n">
        <v>-1311300</v>
      </c>
      <c r="H62" s="15"/>
    </row>
    <row r="63" customFormat="false" ht="15" hidden="false" customHeight="false" outlineLevel="0" collapsed="false">
      <c r="A63" s="6" t="s">
        <v>198</v>
      </c>
      <c r="B63" s="6" t="s">
        <v>351</v>
      </c>
      <c r="C63" s="6" t="s">
        <v>116</v>
      </c>
      <c r="D63" s="10" t="s">
        <v>352</v>
      </c>
      <c r="E63" s="6" t="s">
        <v>331</v>
      </c>
      <c r="F63" s="14" t="str">
        <f aca="false">D63&amp;"("&amp;E63&amp;")"</f>
        <v>HNO3(l)</v>
      </c>
      <c r="G63" s="15" t="n">
        <v>-174100</v>
      </c>
      <c r="H63" s="15" t="n">
        <v>-80710</v>
      </c>
    </row>
    <row r="64" customFormat="false" ht="15" hidden="false" customHeight="false" outlineLevel="0" collapsed="false">
      <c r="A64" s="6" t="s">
        <v>198</v>
      </c>
      <c r="B64" s="6" t="s">
        <v>351</v>
      </c>
      <c r="C64" s="6" t="s">
        <v>116</v>
      </c>
      <c r="D64" s="10" t="s">
        <v>352</v>
      </c>
      <c r="E64" s="6" t="s">
        <v>337</v>
      </c>
      <c r="F64" s="14" t="str">
        <f aca="false">D64&amp;"("&amp;E64&amp;")"</f>
        <v>HNO3(ac)</v>
      </c>
      <c r="G64" s="15"/>
      <c r="H64" s="15" t="n">
        <v>-111250</v>
      </c>
    </row>
    <row r="65" customFormat="false" ht="15" hidden="false" customHeight="false" outlineLevel="0" collapsed="false">
      <c r="A65" s="6" t="s">
        <v>198</v>
      </c>
      <c r="B65" s="6" t="s">
        <v>226</v>
      </c>
      <c r="C65" s="6" t="s">
        <v>227</v>
      </c>
      <c r="D65" s="10" t="s">
        <v>228</v>
      </c>
      <c r="E65" s="6" t="s">
        <v>328</v>
      </c>
      <c r="F65" s="14" t="str">
        <f aca="false">D65&amp;"("&amp;E65&amp;")"</f>
        <v>NO(g)</v>
      </c>
      <c r="G65" s="15" t="n">
        <v>90250</v>
      </c>
      <c r="H65" s="15" t="n">
        <v>86550</v>
      </c>
    </row>
    <row r="66" customFormat="false" ht="15" hidden="false" customHeight="false" outlineLevel="0" collapsed="false">
      <c r="A66" s="6" t="s">
        <v>198</v>
      </c>
      <c r="B66" s="6" t="s">
        <v>229</v>
      </c>
      <c r="C66" s="6" t="s">
        <v>230</v>
      </c>
      <c r="D66" s="10" t="s">
        <v>231</v>
      </c>
      <c r="E66" s="6" t="s">
        <v>328</v>
      </c>
      <c r="F66" s="14" t="str">
        <f aca="false">D66&amp;"("&amp;E66&amp;")"</f>
        <v>NO2(g)</v>
      </c>
      <c r="G66" s="15" t="n">
        <v>33180</v>
      </c>
      <c r="H66" s="15" t="n">
        <v>51310</v>
      </c>
    </row>
    <row r="67" customFormat="false" ht="15" hidden="false" customHeight="false" outlineLevel="0" collapsed="false">
      <c r="A67" s="6" t="s">
        <v>198</v>
      </c>
      <c r="B67" s="6" t="s">
        <v>223</v>
      </c>
      <c r="C67" s="6" t="s">
        <v>224</v>
      </c>
      <c r="D67" s="10" t="s">
        <v>225</v>
      </c>
      <c r="E67" s="6" t="s">
        <v>328</v>
      </c>
      <c r="F67" s="14" t="str">
        <f aca="false">D67&amp;"("&amp;E67&amp;")"</f>
        <v>N2O(g)</v>
      </c>
      <c r="G67" s="15" t="n">
        <v>82050</v>
      </c>
      <c r="H67" s="15" t="n">
        <v>104200</v>
      </c>
    </row>
    <row r="68" customFormat="false" ht="15" hidden="false" customHeight="false" outlineLevel="0" collapsed="false">
      <c r="A68" s="6" t="s">
        <v>198</v>
      </c>
      <c r="B68" s="6" t="s">
        <v>232</v>
      </c>
      <c r="C68" s="6" t="s">
        <v>233</v>
      </c>
      <c r="D68" s="10" t="s">
        <v>234</v>
      </c>
      <c r="E68" s="6" t="s">
        <v>328</v>
      </c>
      <c r="F68" s="14" t="str">
        <f aca="false">D68&amp;"("&amp;E68&amp;")"</f>
        <v>N2O4(g)</v>
      </c>
      <c r="G68" s="15" t="n">
        <v>9160</v>
      </c>
      <c r="H68" s="15" t="n">
        <v>97540</v>
      </c>
    </row>
    <row r="69" customFormat="false" ht="15" hidden="false" customHeight="false" outlineLevel="0" collapsed="false">
      <c r="A69" s="6" t="s">
        <v>198</v>
      </c>
      <c r="B69" s="6" t="s">
        <v>353</v>
      </c>
      <c r="C69" s="6" t="s">
        <v>354</v>
      </c>
      <c r="D69" s="10" t="s">
        <v>355</v>
      </c>
      <c r="E69" s="6" t="s">
        <v>338</v>
      </c>
      <c r="F69" s="14" t="str">
        <f aca="false">D69&amp;"("&amp;E69&amp;")"</f>
        <v>Na2CO3(s)</v>
      </c>
      <c r="G69" s="15" t="n">
        <v>-1130680</v>
      </c>
      <c r="H69" s="15" t="n">
        <v>-1044440</v>
      </c>
    </row>
    <row r="70" customFormat="false" ht="15" hidden="false" customHeight="false" outlineLevel="0" collapsed="false">
      <c r="A70" s="6" t="s">
        <v>198</v>
      </c>
      <c r="B70" s="6" t="s">
        <v>353</v>
      </c>
      <c r="C70" s="6" t="s">
        <v>354</v>
      </c>
      <c r="D70" s="10" t="s">
        <v>356</v>
      </c>
      <c r="E70" s="6" t="s">
        <v>338</v>
      </c>
      <c r="F70" s="14" t="str">
        <f aca="false">D70&amp;"("&amp;E70&amp;")"</f>
        <v>Na2CO3·10H2O(s)</v>
      </c>
      <c r="G70" s="15" t="n">
        <v>-4081320</v>
      </c>
      <c r="H70" s="15"/>
    </row>
    <row r="71" customFormat="false" ht="15" hidden="false" customHeight="false" outlineLevel="0" collapsed="false">
      <c r="A71" s="6" t="s">
        <v>198</v>
      </c>
      <c r="B71" s="6" t="s">
        <v>294</v>
      </c>
      <c r="C71" s="6" t="s">
        <v>295</v>
      </c>
      <c r="D71" s="10" t="s">
        <v>296</v>
      </c>
      <c r="E71" s="6" t="s">
        <v>338</v>
      </c>
      <c r="F71" s="14" t="str">
        <f aca="false">D71&amp;"("&amp;E71&amp;")"</f>
        <v>NaCl(s)</v>
      </c>
      <c r="G71" s="15" t="n">
        <v>-411153</v>
      </c>
      <c r="H71" s="15" t="n">
        <v>-384138</v>
      </c>
    </row>
    <row r="72" customFormat="false" ht="15" hidden="false" customHeight="false" outlineLevel="0" collapsed="false">
      <c r="A72" s="6" t="s">
        <v>198</v>
      </c>
      <c r="B72" s="6" t="s">
        <v>294</v>
      </c>
      <c r="C72" s="6" t="s">
        <v>295</v>
      </c>
      <c r="D72" s="10" t="s">
        <v>296</v>
      </c>
      <c r="E72" s="6" t="s">
        <v>337</v>
      </c>
      <c r="F72" s="14" t="str">
        <f aca="false">D72&amp;"("&amp;E72&amp;")"</f>
        <v>NaCl(ac)</v>
      </c>
      <c r="G72" s="15"/>
      <c r="H72" s="15" t="n">
        <v>-393133</v>
      </c>
    </row>
    <row r="73" customFormat="false" ht="15" hidden="false" customHeight="false" outlineLevel="0" collapsed="false">
      <c r="A73" s="6" t="s">
        <v>198</v>
      </c>
      <c r="B73" s="6" t="s">
        <v>297</v>
      </c>
      <c r="C73" s="6" t="s">
        <v>298</v>
      </c>
      <c r="D73" s="10" t="s">
        <v>299</v>
      </c>
      <c r="E73" s="6" t="s">
        <v>338</v>
      </c>
      <c r="F73" s="14" t="str">
        <f aca="false">D73&amp;"("&amp;E73&amp;")"</f>
        <v>NaOH(s)</v>
      </c>
      <c r="G73" s="15" t="n">
        <v>-425609</v>
      </c>
      <c r="H73" s="15" t="n">
        <v>-379494</v>
      </c>
    </row>
    <row r="74" customFormat="false" ht="15" hidden="false" customHeight="false" outlineLevel="0" collapsed="false">
      <c r="A74" s="6" t="s">
        <v>198</v>
      </c>
      <c r="B74" s="6" t="s">
        <v>297</v>
      </c>
      <c r="C74" s="6" t="s">
        <v>298</v>
      </c>
      <c r="D74" s="10" t="s">
        <v>299</v>
      </c>
      <c r="E74" s="6" t="s">
        <v>337</v>
      </c>
      <c r="F74" s="14" t="str">
        <f aca="false">D74&amp;"("&amp;E74&amp;")"</f>
        <v>NaOH(ac)</v>
      </c>
      <c r="G74" s="15"/>
      <c r="H74" s="15" t="n">
        <v>-419150</v>
      </c>
    </row>
    <row r="75" customFormat="false" ht="15" hidden="false" customHeight="false" outlineLevel="0" collapsed="false">
      <c r="A75" s="6" t="s">
        <v>198</v>
      </c>
      <c r="B75" s="6" t="s">
        <v>237</v>
      </c>
      <c r="C75" s="6" t="s">
        <v>108</v>
      </c>
      <c r="D75" s="10" t="s">
        <v>238</v>
      </c>
      <c r="E75" s="6" t="s">
        <v>328</v>
      </c>
      <c r="F75" s="14" t="str">
        <f aca="false">D75&amp;"("&amp;E75&amp;")"</f>
        <v>SO2(g)</v>
      </c>
      <c r="G75" s="15" t="n">
        <v>-296830</v>
      </c>
      <c r="H75" s="15" t="n">
        <v>-300194</v>
      </c>
    </row>
    <row r="76" customFormat="false" ht="15" hidden="false" customHeight="false" outlineLevel="0" collapsed="false">
      <c r="A76" s="6" t="s">
        <v>198</v>
      </c>
      <c r="B76" s="6" t="s">
        <v>239</v>
      </c>
      <c r="C76" s="6" t="s">
        <v>109</v>
      </c>
      <c r="D76" s="10" t="s">
        <v>240</v>
      </c>
      <c r="E76" s="6" t="s">
        <v>328</v>
      </c>
      <c r="F76" s="14" t="str">
        <f aca="false">D76&amp;"("&amp;E76&amp;")"</f>
        <v>SO3(g)</v>
      </c>
      <c r="G76" s="15" t="n">
        <v>-395720</v>
      </c>
      <c r="H76" s="15" t="n">
        <v>-371060</v>
      </c>
    </row>
    <row r="77" customFormat="false" ht="15" hidden="false" customHeight="false" outlineLevel="0" collapsed="false">
      <c r="A77" s="6" t="s">
        <v>198</v>
      </c>
      <c r="B77" s="6" t="s">
        <v>239</v>
      </c>
      <c r="C77" s="6" t="s">
        <v>109</v>
      </c>
      <c r="D77" s="10" t="s">
        <v>240</v>
      </c>
      <c r="E77" s="6" t="s">
        <v>331</v>
      </c>
      <c r="F77" s="14" t="str">
        <f aca="false">D77&amp;"("&amp;E77&amp;")"</f>
        <v>SO3(l)</v>
      </c>
      <c r="G77" s="15" t="n">
        <v>-441040</v>
      </c>
      <c r="H77" s="15"/>
    </row>
    <row r="78" customFormat="false" ht="15" hidden="false" customHeight="false" outlineLevel="0" collapsed="false">
      <c r="A78" s="6" t="s">
        <v>198</v>
      </c>
      <c r="B78" s="6" t="s">
        <v>357</v>
      </c>
      <c r="C78" s="6" t="s">
        <v>117</v>
      </c>
      <c r="D78" s="10" t="s">
        <v>358</v>
      </c>
      <c r="E78" s="6" t="s">
        <v>331</v>
      </c>
      <c r="F78" s="14" t="str">
        <f aca="false">D78&amp;"("&amp;E78&amp;")"</f>
        <v>H2SO4(l)</v>
      </c>
      <c r="G78" s="15" t="n">
        <v>-813989</v>
      </c>
      <c r="H78" s="15" t="n">
        <v>-690003</v>
      </c>
    </row>
    <row r="79" customFormat="false" ht="15" hidden="false" customHeight="false" outlineLevel="0" collapsed="false">
      <c r="A79" s="6" t="s">
        <v>198</v>
      </c>
      <c r="B79" s="6" t="s">
        <v>357</v>
      </c>
      <c r="C79" s="6" t="s">
        <v>117</v>
      </c>
      <c r="D79" s="10" t="s">
        <v>358</v>
      </c>
      <c r="E79" s="6" t="s">
        <v>337</v>
      </c>
      <c r="F79" s="14" t="str">
        <f aca="false">D79&amp;"("&amp;E79&amp;")"</f>
        <v>H2SO4(ac)</v>
      </c>
      <c r="G79" s="15"/>
      <c r="H79" s="15" t="n">
        <v>-744530</v>
      </c>
    </row>
    <row r="80" customFormat="false" ht="15" hidden="false" customHeight="false" outlineLevel="0" collapsed="false">
      <c r="A80" s="6" t="s">
        <v>198</v>
      </c>
      <c r="B80" s="6" t="s">
        <v>241</v>
      </c>
      <c r="C80" s="6" t="s">
        <v>114</v>
      </c>
      <c r="D80" s="10" t="s">
        <v>242</v>
      </c>
      <c r="E80" s="6" t="s">
        <v>328</v>
      </c>
      <c r="F80" s="14" t="str">
        <f aca="false">D80&amp;"("&amp;E80&amp;")"</f>
        <v>H2O(g)</v>
      </c>
      <c r="G80" s="15" t="n">
        <v>-241818</v>
      </c>
      <c r="H80" s="15" t="n">
        <v>-228572</v>
      </c>
    </row>
    <row r="81" customFormat="false" ht="15" hidden="false" customHeight="false" outlineLevel="0" collapsed="false">
      <c r="A81" s="6" t="s">
        <v>198</v>
      </c>
      <c r="B81" s="6" t="s">
        <v>241</v>
      </c>
      <c r="C81" s="6" t="s">
        <v>114</v>
      </c>
      <c r="D81" s="10" t="s">
        <v>242</v>
      </c>
      <c r="E81" s="6" t="s">
        <v>331</v>
      </c>
      <c r="F81" s="14" t="str">
        <f aca="false">D81&amp;"("&amp;E81&amp;")"</f>
        <v>H2O(l)</v>
      </c>
      <c r="G81" s="15" t="n">
        <v>-285830</v>
      </c>
      <c r="H81" s="15" t="n">
        <v>-237129</v>
      </c>
    </row>
    <row r="83" customFormat="false" ht="15" hidden="false" customHeight="false" outlineLevel="0" collapsed="false">
      <c r="A83" s="4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15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10" min="9" style="0" width="9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4" t="s">
        <v>361</v>
      </c>
    </row>
    <row r="4" customFormat="false" ht="31.5" hidden="false" customHeight="true" outlineLevel="0" collapsed="false">
      <c r="A4" s="5" t="s">
        <v>123</v>
      </c>
      <c r="B4" s="5" t="s">
        <v>121</v>
      </c>
      <c r="C4" s="5" t="s">
        <v>326</v>
      </c>
      <c r="D4" s="5" t="s">
        <v>327</v>
      </c>
      <c r="E4" s="5" t="s">
        <v>126</v>
      </c>
      <c r="F4" s="5" t="s">
        <v>362</v>
      </c>
      <c r="G4" s="5" t="s">
        <v>263</v>
      </c>
      <c r="H4" s="5" t="s">
        <v>363</v>
      </c>
      <c r="I4" s="5" t="s">
        <v>124</v>
      </c>
      <c r="J4" s="5" t="s">
        <v>125</v>
      </c>
      <c r="K4" s="5" t="s">
        <v>364</v>
      </c>
    </row>
    <row r="5" customFormat="false" ht="15" hidden="false" customHeight="false" outlineLevel="0" collapsed="false">
      <c r="A5" s="10" t="s">
        <v>136</v>
      </c>
      <c r="B5" s="6" t="s">
        <v>135</v>
      </c>
      <c r="C5" s="16" t="n">
        <f aca="false">INDEX(C4_Formacion!$G:$G,MATCH(A5&amp;"(g)",C4_Formacion!$F:$F,0))</f>
        <v>-74520</v>
      </c>
      <c r="D5" s="16" t="n">
        <f aca="false">INDEX(C4_Formacion!$H:$H,MATCH(A5&amp;"(g)",C4_Formacion!$F:$F,0))</f>
        <v>-50460</v>
      </c>
      <c r="E5" s="12" t="n">
        <f aca="false">INDEX(C1_Gases!$K:$K,MATCH($A5,C1_Gases!$D:$D,0))</f>
        <v>1.702</v>
      </c>
      <c r="F5" s="13" t="n">
        <f aca="false">INDEX(C1_Gases!$L:$L,MATCH($A5,C1_Gases!$D:$D,0))</f>
        <v>0.009081</v>
      </c>
      <c r="G5" s="13" t="n">
        <f aca="false">INDEX(C1_Gases!$M:$M,MATCH($A5,C1_Gases!$D:$D,0))</f>
        <v>-2.164E-006</v>
      </c>
      <c r="H5" s="13" t="n">
        <f aca="false">INDEX(C1_Gases!$N:$N,MATCH($A5,C1_Gases!$D:$D,0))</f>
        <v>0</v>
      </c>
      <c r="I5" s="17" t="n">
        <f aca="false">INDEX(C1_Gases!$E:$E,MATCH($A5,C1_Gases!$D:$D,0))</f>
        <v>1500</v>
      </c>
      <c r="J5" s="12" t="n">
        <f aca="false">INDEX(C1_Gases!$F:$F,MATCH($A5,C1_Gases!$D:$D,0))</f>
        <v>4.217</v>
      </c>
      <c r="K5" s="6" t="s">
        <v>365</v>
      </c>
    </row>
    <row r="6" customFormat="false" ht="15" hidden="false" customHeight="false" outlineLevel="0" collapsed="false">
      <c r="A6" s="10" t="s">
        <v>138</v>
      </c>
      <c r="B6" s="6" t="s">
        <v>137</v>
      </c>
      <c r="C6" s="16" t="n">
        <f aca="false">INDEX(C4_Formacion!$G:$G,MATCH(A6&amp;"(g)",C4_Formacion!$F:$F,0))</f>
        <v>-83820</v>
      </c>
      <c r="D6" s="16" t="n">
        <f aca="false">INDEX(C4_Formacion!$H:$H,MATCH(A6&amp;"(g)",C4_Formacion!$F:$F,0))</f>
        <v>-31855</v>
      </c>
      <c r="E6" s="12" t="n">
        <f aca="false">INDEX(C1_Gases!$K:$K,MATCH($A6,C1_Gases!$D:$D,0))</f>
        <v>1.131</v>
      </c>
      <c r="F6" s="13" t="n">
        <f aca="false">INDEX(C1_Gases!$L:$L,MATCH($A6,C1_Gases!$D:$D,0))</f>
        <v>0.019225</v>
      </c>
      <c r="G6" s="13" t="n">
        <f aca="false">INDEX(C1_Gases!$M:$M,MATCH($A6,C1_Gases!$D:$D,0))</f>
        <v>-5.561E-006</v>
      </c>
      <c r="H6" s="13" t="n">
        <f aca="false">INDEX(C1_Gases!$N:$N,MATCH($A6,C1_Gases!$D:$D,0))</f>
        <v>0</v>
      </c>
      <c r="I6" s="17" t="n">
        <f aca="false">INDEX(C1_Gases!$E:$E,MATCH($A6,C1_Gases!$D:$D,0))</f>
        <v>1500</v>
      </c>
      <c r="J6" s="12" t="n">
        <f aca="false">INDEX(C1_Gases!$F:$F,MATCH($A6,C1_Gases!$D:$D,0))</f>
        <v>6.369</v>
      </c>
      <c r="K6" s="6" t="s">
        <v>365</v>
      </c>
    </row>
    <row r="7" customFormat="false" ht="15" hidden="false" customHeight="false" outlineLevel="0" collapsed="false">
      <c r="A7" s="10" t="s">
        <v>140</v>
      </c>
      <c r="B7" s="6" t="s">
        <v>139</v>
      </c>
      <c r="C7" s="16" t="n">
        <f aca="false">INDEX(C4_Formacion!$G:$G,MATCH(A7&amp;"(g)",C4_Formacion!$F:$F,0))</f>
        <v>-104680</v>
      </c>
      <c r="D7" s="16" t="n">
        <f aca="false">INDEX(C4_Formacion!$H:$H,MATCH(A7&amp;"(g)",C4_Formacion!$F:$F,0))</f>
        <v>-24290</v>
      </c>
      <c r="E7" s="12" t="n">
        <f aca="false">INDEX(C1_Gases!$K:$K,MATCH($A7,C1_Gases!$D:$D,0))</f>
        <v>1.213</v>
      </c>
      <c r="F7" s="13" t="n">
        <f aca="false">INDEX(C1_Gases!$L:$L,MATCH($A7,C1_Gases!$D:$D,0))</f>
        <v>0.028785</v>
      </c>
      <c r="G7" s="13" t="n">
        <f aca="false">INDEX(C1_Gases!$M:$M,MATCH($A7,C1_Gases!$D:$D,0))</f>
        <v>-8.824E-006</v>
      </c>
      <c r="H7" s="13" t="n">
        <f aca="false">INDEX(C1_Gases!$N:$N,MATCH($A7,C1_Gases!$D:$D,0))</f>
        <v>0</v>
      </c>
      <c r="I7" s="17" t="n">
        <f aca="false">INDEX(C1_Gases!$E:$E,MATCH($A7,C1_Gases!$D:$D,0))</f>
        <v>1500</v>
      </c>
      <c r="J7" s="12" t="n">
        <f aca="false">INDEX(C1_Gases!$F:$F,MATCH($A7,C1_Gases!$D:$D,0))</f>
        <v>9.011</v>
      </c>
      <c r="K7" s="6" t="s">
        <v>365</v>
      </c>
    </row>
    <row r="8" customFormat="false" ht="15" hidden="false" customHeight="false" outlineLevel="0" collapsed="false">
      <c r="A8" s="10" t="s">
        <v>142</v>
      </c>
      <c r="B8" s="6" t="s">
        <v>141</v>
      </c>
      <c r="C8" s="16" t="n">
        <f aca="false">INDEX(C4_Formacion!$G:$G,MATCH(A8&amp;"(g)",C4_Formacion!$F:$F,0))</f>
        <v>-125790</v>
      </c>
      <c r="D8" s="16" t="n">
        <f aca="false">INDEX(C4_Formacion!$H:$H,MATCH(A8&amp;"(g)",C4_Formacion!$F:$F,0))</f>
        <v>-16570</v>
      </c>
      <c r="E8" s="12" t="n">
        <f aca="false">INDEX(C1_Gases!$K:$K,MATCH($A8,C1_Gases!$D:$D,0))</f>
        <v>1.935</v>
      </c>
      <c r="F8" s="13" t="n">
        <f aca="false">INDEX(C1_Gases!$L:$L,MATCH($A8,C1_Gases!$D:$D,0))</f>
        <v>0.036915</v>
      </c>
      <c r="G8" s="13" t="n">
        <f aca="false">INDEX(C1_Gases!$M:$M,MATCH($A8,C1_Gases!$D:$D,0))</f>
        <v>-1.1402E-005</v>
      </c>
      <c r="H8" s="13" t="n">
        <f aca="false">INDEX(C1_Gases!$N:$N,MATCH($A8,C1_Gases!$D:$D,0))</f>
        <v>0</v>
      </c>
      <c r="I8" s="17" t="n">
        <f aca="false">INDEX(C1_Gases!$E:$E,MATCH($A8,C1_Gases!$D:$D,0))</f>
        <v>1500</v>
      </c>
      <c r="J8" s="12" t="n">
        <f aca="false">INDEX(C1_Gases!$F:$F,MATCH($A8,C1_Gases!$D:$D,0))</f>
        <v>11.928</v>
      </c>
      <c r="K8" s="6" t="s">
        <v>365</v>
      </c>
    </row>
    <row r="9" customFormat="false" ht="15" hidden="false" customHeight="false" outlineLevel="0" collapsed="false">
      <c r="A9" s="10" t="s">
        <v>145</v>
      </c>
      <c r="B9" s="6" t="s">
        <v>143</v>
      </c>
      <c r="C9" s="18"/>
      <c r="D9" s="18"/>
      <c r="E9" s="12" t="n">
        <f aca="false">INDEX(C1_Gases!$K:$K,MATCH($A9,C1_Gases!$D:$D,0))</f>
        <v>1.677</v>
      </c>
      <c r="F9" s="13" t="n">
        <f aca="false">INDEX(C1_Gases!$L:$L,MATCH($A9,C1_Gases!$D:$D,0))</f>
        <v>0.037853</v>
      </c>
      <c r="G9" s="13" t="n">
        <f aca="false">INDEX(C1_Gases!$M:$M,MATCH($A9,C1_Gases!$D:$D,0))</f>
        <v>-1.1945E-005</v>
      </c>
      <c r="H9" s="13" t="n">
        <f aca="false">INDEX(C1_Gases!$N:$N,MATCH($A9,C1_Gases!$D:$D,0))</f>
        <v>0</v>
      </c>
      <c r="I9" s="17" t="n">
        <f aca="false">INDEX(C1_Gases!$E:$E,MATCH($A9,C1_Gases!$D:$D,0))</f>
        <v>1500</v>
      </c>
      <c r="J9" s="12" t="n">
        <f aca="false">INDEX(C1_Gases!$F:$F,MATCH($A9,C1_Gases!$D:$D,0))</f>
        <v>11.901</v>
      </c>
      <c r="K9" s="19" t="s">
        <v>366</v>
      </c>
    </row>
    <row r="10" customFormat="false" ht="15" hidden="false" customHeight="false" outlineLevel="0" collapsed="false">
      <c r="A10" s="10" t="s">
        <v>147</v>
      </c>
      <c r="B10" s="6" t="s">
        <v>146</v>
      </c>
      <c r="C10" s="16" t="n">
        <f aca="false">INDEX(C4_Formacion!$G:$G,MATCH(A10&amp;"(g)",C4_Formacion!$F:$F,0))</f>
        <v>-146760</v>
      </c>
      <c r="D10" s="16" t="n">
        <f aca="false">INDEX(C4_Formacion!$H:$H,MATCH(A10&amp;"(g)",C4_Formacion!$F:$F,0))</f>
        <v>-8650</v>
      </c>
      <c r="E10" s="12" t="n">
        <f aca="false">INDEX(C1_Gases!$K:$K,MATCH($A10,C1_Gases!$D:$D,0))</f>
        <v>2.464</v>
      </c>
      <c r="F10" s="13" t="n">
        <f aca="false">INDEX(C1_Gases!$L:$L,MATCH($A10,C1_Gases!$D:$D,0))</f>
        <v>0.045351</v>
      </c>
      <c r="G10" s="13" t="n">
        <f aca="false">INDEX(C1_Gases!$M:$M,MATCH($A10,C1_Gases!$D:$D,0))</f>
        <v>-1.4111E-005</v>
      </c>
      <c r="H10" s="13" t="n">
        <f aca="false">INDEX(C1_Gases!$N:$N,MATCH($A10,C1_Gases!$D:$D,0))</f>
        <v>0</v>
      </c>
      <c r="I10" s="17" t="n">
        <f aca="false">INDEX(C1_Gases!$E:$E,MATCH($A10,C1_Gases!$D:$D,0))</f>
        <v>1500</v>
      </c>
      <c r="J10" s="12" t="n">
        <f aca="false">INDEX(C1_Gases!$F:$F,MATCH($A10,C1_Gases!$D:$D,0))</f>
        <v>14.731</v>
      </c>
      <c r="K10" s="6" t="s">
        <v>365</v>
      </c>
    </row>
    <row r="11" customFormat="false" ht="15" hidden="false" customHeight="false" outlineLevel="0" collapsed="false">
      <c r="A11" s="10" t="s">
        <v>149</v>
      </c>
      <c r="B11" s="6" t="s">
        <v>148</v>
      </c>
      <c r="C11" s="16" t="n">
        <f aca="false">INDEX(C4_Formacion!$G:$G,MATCH(A11&amp;"(g)",C4_Formacion!$F:$F,0))</f>
        <v>-166920</v>
      </c>
      <c r="D11" s="16" t="n">
        <f aca="false">INDEX(C4_Formacion!$H:$H,MATCH(A11&amp;"(g)",C4_Formacion!$F:$F,0))</f>
        <v>150</v>
      </c>
      <c r="E11" s="12" t="n">
        <f aca="false">INDEX(C1_Gases!$K:$K,MATCH($A11,C1_Gases!$D:$D,0))</f>
        <v>3.025</v>
      </c>
      <c r="F11" s="13" t="n">
        <f aca="false">INDEX(C1_Gases!$L:$L,MATCH($A11,C1_Gases!$D:$D,0))</f>
        <v>0.053722</v>
      </c>
      <c r="G11" s="13" t="n">
        <f aca="false">INDEX(C1_Gases!$M:$M,MATCH($A11,C1_Gases!$D:$D,0))</f>
        <v>-1.6791E-005</v>
      </c>
      <c r="H11" s="13" t="n">
        <f aca="false">INDEX(C1_Gases!$N:$N,MATCH($A11,C1_Gases!$D:$D,0))</f>
        <v>0</v>
      </c>
      <c r="I11" s="17" t="n">
        <f aca="false">INDEX(C1_Gases!$E:$E,MATCH($A11,C1_Gases!$D:$D,0))</f>
        <v>1500</v>
      </c>
      <c r="J11" s="12" t="n">
        <f aca="false">INDEX(C1_Gases!$F:$F,MATCH($A11,C1_Gases!$D:$D,0))</f>
        <v>17.55</v>
      </c>
      <c r="K11" s="6" t="s">
        <v>365</v>
      </c>
    </row>
    <row r="12" customFormat="false" ht="15" hidden="false" customHeight="false" outlineLevel="0" collapsed="false">
      <c r="A12" s="10" t="s">
        <v>151</v>
      </c>
      <c r="B12" s="6" t="s">
        <v>150</v>
      </c>
      <c r="C12" s="16" t="n">
        <f aca="false">INDEX(C4_Formacion!$G:$G,MATCH(A12&amp;"(g)",C4_Formacion!$F:$F,0))</f>
        <v>-187780</v>
      </c>
      <c r="D12" s="16" t="n">
        <f aca="false">INDEX(C4_Formacion!$H:$H,MATCH(A12&amp;"(g)",C4_Formacion!$F:$F,0))</f>
        <v>8260</v>
      </c>
      <c r="E12" s="12" t="n">
        <f aca="false">INDEX(C1_Gases!$K:$K,MATCH($A12,C1_Gases!$D:$D,0))</f>
        <v>3.57</v>
      </c>
      <c r="F12" s="13" t="n">
        <f aca="false">INDEX(C1_Gases!$L:$L,MATCH($A12,C1_Gases!$D:$D,0))</f>
        <v>0.062127</v>
      </c>
      <c r="G12" s="13" t="n">
        <f aca="false">INDEX(C1_Gases!$M:$M,MATCH($A12,C1_Gases!$D:$D,0))</f>
        <v>-1.9486E-005</v>
      </c>
      <c r="H12" s="13" t="n">
        <f aca="false">INDEX(C1_Gases!$N:$N,MATCH($A12,C1_Gases!$D:$D,0))</f>
        <v>0</v>
      </c>
      <c r="I12" s="17" t="n">
        <f aca="false">INDEX(C1_Gases!$E:$E,MATCH($A12,C1_Gases!$D:$D,0))</f>
        <v>1500</v>
      </c>
      <c r="J12" s="12" t="n">
        <f aca="false">INDEX(C1_Gases!$F:$F,MATCH($A12,C1_Gases!$D:$D,0))</f>
        <v>20.361</v>
      </c>
      <c r="K12" s="6" t="s">
        <v>365</v>
      </c>
    </row>
    <row r="13" customFormat="false" ht="15" hidden="false" customHeight="false" outlineLevel="0" collapsed="false">
      <c r="A13" s="10" t="s">
        <v>153</v>
      </c>
      <c r="B13" s="6" t="s">
        <v>152</v>
      </c>
      <c r="C13" s="16" t="n">
        <f aca="false">INDEX(C4_Formacion!$G:$G,MATCH(A13&amp;"(g)",C4_Formacion!$F:$F,0))</f>
        <v>-208750</v>
      </c>
      <c r="D13" s="16" t="n">
        <f aca="false">INDEX(C4_Formacion!$H:$H,MATCH(A13&amp;"(g)",C4_Formacion!$F:$F,0))</f>
        <v>16260</v>
      </c>
      <c r="E13" s="12" t="n">
        <f aca="false">INDEX(C1_Gases!$K:$K,MATCH($A13,C1_Gases!$D:$D,0))</f>
        <v>4.108</v>
      </c>
      <c r="F13" s="13" t="n">
        <f aca="false">INDEX(C1_Gases!$L:$L,MATCH($A13,C1_Gases!$D:$D,0))</f>
        <v>0.070567</v>
      </c>
      <c r="G13" s="13" t="n">
        <f aca="false">INDEX(C1_Gases!$M:$M,MATCH($A13,C1_Gases!$D:$D,0))</f>
        <v>-2.2208E-005</v>
      </c>
      <c r="H13" s="13" t="n">
        <f aca="false">INDEX(C1_Gases!$N:$N,MATCH($A13,C1_Gases!$D:$D,0))</f>
        <v>0</v>
      </c>
      <c r="I13" s="17" t="n">
        <f aca="false">INDEX(C1_Gases!$E:$E,MATCH($A13,C1_Gases!$D:$D,0))</f>
        <v>1500</v>
      </c>
      <c r="J13" s="12" t="n">
        <f aca="false">INDEX(C1_Gases!$F:$F,MATCH($A13,C1_Gases!$D:$D,0))</f>
        <v>23.174</v>
      </c>
      <c r="K13" s="6" t="s">
        <v>365</v>
      </c>
    </row>
    <row r="14" customFormat="false" ht="15" hidden="false" customHeight="false" outlineLevel="0" collapsed="false">
      <c r="A14" s="10" t="s">
        <v>156</v>
      </c>
      <c r="B14" s="6" t="s">
        <v>155</v>
      </c>
      <c r="C14" s="16" t="n">
        <f aca="false">INDEX(C4_Formacion!$G:$G,MATCH(A14&amp;"(g)",C4_Formacion!$F:$F,0))</f>
        <v>52510</v>
      </c>
      <c r="D14" s="16" t="n">
        <f aca="false">INDEX(C4_Formacion!$H:$H,MATCH(A14&amp;"(g)",C4_Formacion!$F:$F,0))</f>
        <v>68460</v>
      </c>
      <c r="E14" s="12" t="n">
        <f aca="false">INDEX(C1_Gases!$K:$K,MATCH($A14,C1_Gases!$D:$D,0))</f>
        <v>1.424</v>
      </c>
      <c r="F14" s="13" t="n">
        <f aca="false">INDEX(C1_Gases!$L:$L,MATCH($A14,C1_Gases!$D:$D,0))</f>
        <v>0.014394</v>
      </c>
      <c r="G14" s="13" t="n">
        <f aca="false">INDEX(C1_Gases!$M:$M,MATCH($A14,C1_Gases!$D:$D,0))</f>
        <v>-4.392E-006</v>
      </c>
      <c r="H14" s="13" t="n">
        <f aca="false">INDEX(C1_Gases!$N:$N,MATCH($A14,C1_Gases!$D:$D,0))</f>
        <v>0</v>
      </c>
      <c r="I14" s="17" t="n">
        <f aca="false">INDEX(C1_Gases!$E:$E,MATCH($A14,C1_Gases!$D:$D,0))</f>
        <v>1500</v>
      </c>
      <c r="J14" s="12" t="n">
        <f aca="false">INDEX(C1_Gases!$F:$F,MATCH($A14,C1_Gases!$D:$D,0))</f>
        <v>5.325</v>
      </c>
      <c r="K14" s="6" t="s">
        <v>365</v>
      </c>
    </row>
    <row r="15" customFormat="false" ht="15" hidden="false" customHeight="false" outlineLevel="0" collapsed="false">
      <c r="A15" s="10" t="s">
        <v>158</v>
      </c>
      <c r="B15" s="6" t="s">
        <v>157</v>
      </c>
      <c r="C15" s="16" t="n">
        <f aca="false">INDEX(C4_Formacion!$G:$G,MATCH(A15&amp;"(g)",C4_Formacion!$F:$F,0))</f>
        <v>19710</v>
      </c>
      <c r="D15" s="16" t="n">
        <f aca="false">INDEX(C4_Formacion!$H:$H,MATCH(A15&amp;"(g)",C4_Formacion!$F:$F,0))</f>
        <v>62205</v>
      </c>
      <c r="E15" s="12" t="n">
        <f aca="false">INDEX(C1_Gases!$K:$K,MATCH($A15,C1_Gases!$D:$D,0))</f>
        <v>1.637</v>
      </c>
      <c r="F15" s="13" t="n">
        <f aca="false">INDEX(C1_Gases!$L:$L,MATCH($A15,C1_Gases!$D:$D,0))</f>
        <v>0.022706</v>
      </c>
      <c r="G15" s="13" t="n">
        <f aca="false">INDEX(C1_Gases!$M:$M,MATCH($A15,C1_Gases!$D:$D,0))</f>
        <v>-6.915E-006</v>
      </c>
      <c r="H15" s="13" t="n">
        <f aca="false">INDEX(C1_Gases!$N:$N,MATCH($A15,C1_Gases!$D:$D,0))</f>
        <v>0</v>
      </c>
      <c r="I15" s="17" t="n">
        <f aca="false">INDEX(C1_Gases!$E:$E,MATCH($A15,C1_Gases!$D:$D,0))</f>
        <v>1500</v>
      </c>
      <c r="J15" s="12" t="n">
        <f aca="false">INDEX(C1_Gases!$F:$F,MATCH($A15,C1_Gases!$D:$D,0))</f>
        <v>7.792</v>
      </c>
      <c r="K15" s="6" t="s">
        <v>365</v>
      </c>
    </row>
    <row r="16" customFormat="false" ht="15" hidden="false" customHeight="false" outlineLevel="0" collapsed="false">
      <c r="A16" s="10" t="s">
        <v>160</v>
      </c>
      <c r="B16" s="6" t="s">
        <v>159</v>
      </c>
      <c r="C16" s="16" t="n">
        <f aca="false">INDEX(C4_Formacion!$G:$G,MATCH(A16&amp;"(g)",C4_Formacion!$F:$F,0))</f>
        <v>-540</v>
      </c>
      <c r="D16" s="16" t="n">
        <f aca="false">INDEX(C4_Formacion!$H:$H,MATCH(A16&amp;"(g)",C4_Formacion!$F:$F,0))</f>
        <v>70340</v>
      </c>
      <c r="E16" s="12" t="n">
        <f aca="false">INDEX(C1_Gases!$K:$K,MATCH($A16,C1_Gases!$D:$D,0))</f>
        <v>1.967</v>
      </c>
      <c r="F16" s="13" t="n">
        <f aca="false">INDEX(C1_Gases!$L:$L,MATCH($A16,C1_Gases!$D:$D,0))</f>
        <v>0.03163</v>
      </c>
      <c r="G16" s="13" t="n">
        <f aca="false">INDEX(C1_Gases!$M:$M,MATCH($A16,C1_Gases!$D:$D,0))</f>
        <v>-9.873E-006</v>
      </c>
      <c r="H16" s="13" t="n">
        <f aca="false">INDEX(C1_Gases!$N:$N,MATCH($A16,C1_Gases!$D:$D,0))</f>
        <v>0</v>
      </c>
      <c r="I16" s="17" t="n">
        <f aca="false">INDEX(C1_Gases!$E:$E,MATCH($A16,C1_Gases!$D:$D,0))</f>
        <v>1500</v>
      </c>
      <c r="J16" s="12" t="n">
        <f aca="false">INDEX(C1_Gases!$F:$F,MATCH($A16,C1_Gases!$D:$D,0))</f>
        <v>10.52</v>
      </c>
      <c r="K16" s="6" t="s">
        <v>365</v>
      </c>
    </row>
    <row r="17" customFormat="false" ht="15" hidden="false" customHeight="false" outlineLevel="0" collapsed="false">
      <c r="A17" s="10" t="s">
        <v>163</v>
      </c>
      <c r="B17" s="6" t="s">
        <v>161</v>
      </c>
      <c r="C17" s="16" t="n">
        <f aca="false">INDEX(C4_Formacion!$G:$G,MATCH(A17&amp;"(g)",C4_Formacion!$F:$F,0))</f>
        <v>-21280</v>
      </c>
      <c r="D17" s="16" t="n">
        <f aca="false">INDEX(C4_Formacion!$H:$H,MATCH(A17&amp;"(g)",C4_Formacion!$F:$F,0))</f>
        <v>78410</v>
      </c>
      <c r="E17" s="12" t="n">
        <f aca="false">INDEX(C1_Gases!$K:$K,MATCH($A17,C1_Gases!$D:$D,0))</f>
        <v>2.691</v>
      </c>
      <c r="F17" s="13" t="n">
        <f aca="false">INDEX(C1_Gases!$L:$L,MATCH($A17,C1_Gases!$D:$D,0))</f>
        <v>0.039753</v>
      </c>
      <c r="G17" s="13" t="n">
        <f aca="false">INDEX(C1_Gases!$M:$M,MATCH($A17,C1_Gases!$D:$D,0))</f>
        <v>-1.2447E-005</v>
      </c>
      <c r="H17" s="13" t="n">
        <f aca="false">INDEX(C1_Gases!$N:$N,MATCH($A17,C1_Gases!$D:$D,0))</f>
        <v>0</v>
      </c>
      <c r="I17" s="17" t="n">
        <f aca="false">INDEX(C1_Gases!$E:$E,MATCH($A17,C1_Gases!$D:$D,0))</f>
        <v>1500</v>
      </c>
      <c r="J17" s="12" t="n">
        <f aca="false">INDEX(C1_Gases!$F:$F,MATCH($A17,C1_Gases!$D:$D,0))</f>
        <v>13.437</v>
      </c>
      <c r="K17" s="6" t="s">
        <v>365</v>
      </c>
    </row>
    <row r="18" customFormat="false" ht="15" hidden="false" customHeight="false" outlineLevel="0" collapsed="false">
      <c r="A18" s="10" t="s">
        <v>165</v>
      </c>
      <c r="B18" s="6" t="s">
        <v>164</v>
      </c>
      <c r="C18" s="16" t="n">
        <f aca="false">INDEX(C4_Formacion!$G:$G,MATCH(A18&amp;"(g)",C4_Formacion!$F:$F,0))</f>
        <v>-41950</v>
      </c>
      <c r="D18" s="16" t="n">
        <f aca="false">INDEX(C4_Formacion!$H:$H,MATCH(A18&amp;"(g)",C4_Formacion!$F:$F,0))</f>
        <v>86830</v>
      </c>
      <c r="E18" s="12" t="n">
        <f aca="false">INDEX(C1_Gases!$K:$K,MATCH($A18,C1_Gases!$D:$D,0))</f>
        <v>3.22</v>
      </c>
      <c r="F18" s="13" t="n">
        <f aca="false">INDEX(C1_Gases!$L:$L,MATCH($A18,C1_Gases!$D:$D,0))</f>
        <v>0.048189</v>
      </c>
      <c r="G18" s="13" t="n">
        <f aca="false">INDEX(C1_Gases!$M:$M,MATCH($A18,C1_Gases!$D:$D,0))</f>
        <v>-1.5157E-005</v>
      </c>
      <c r="H18" s="13" t="n">
        <f aca="false">INDEX(C1_Gases!$N:$N,MATCH($A18,C1_Gases!$D:$D,0))</f>
        <v>0</v>
      </c>
      <c r="I18" s="17" t="n">
        <f aca="false">INDEX(C1_Gases!$E:$E,MATCH($A18,C1_Gases!$D:$D,0))</f>
        <v>1500</v>
      </c>
      <c r="J18" s="12" t="n">
        <f aca="false">INDEX(C1_Gases!$F:$F,MATCH($A18,C1_Gases!$D:$D,0))</f>
        <v>16.24</v>
      </c>
      <c r="K18" s="6" t="s">
        <v>365</v>
      </c>
    </row>
    <row r="19" customFormat="false" ht="15" hidden="false" customHeight="false" outlineLevel="0" collapsed="false">
      <c r="A19" s="10" t="s">
        <v>168</v>
      </c>
      <c r="B19" s="6" t="s">
        <v>166</v>
      </c>
      <c r="C19" s="16" t="n">
        <f aca="false">INDEX(C4_Formacion!$G:$G,MATCH(A19&amp;"(g)",C4_Formacion!$F:$F,0))</f>
        <v>-62760</v>
      </c>
      <c r="D19" s="16" t="n">
        <f aca="false">INDEX(C4_Formacion!$H:$H,MATCH(A19&amp;"(g)",C4_Formacion!$F:$F,0))</f>
        <v>0</v>
      </c>
      <c r="E19" s="12" t="n">
        <f aca="false">INDEX(C1_Gases!$K:$K,MATCH($A19,C1_Gases!$D:$D,0))</f>
        <v>3.768</v>
      </c>
      <c r="F19" s="13" t="n">
        <f aca="false">INDEX(C1_Gases!$L:$L,MATCH($A19,C1_Gases!$D:$D,0))</f>
        <v>0.056588</v>
      </c>
      <c r="G19" s="13" t="n">
        <f aca="false">INDEX(C1_Gases!$M:$M,MATCH($A19,C1_Gases!$D:$D,0))</f>
        <v>-1.7847E-005</v>
      </c>
      <c r="H19" s="13" t="n">
        <f aca="false">INDEX(C1_Gases!$N:$N,MATCH($A19,C1_Gases!$D:$D,0))</f>
        <v>0</v>
      </c>
      <c r="I19" s="17" t="n">
        <f aca="false">INDEX(C1_Gases!$E:$E,MATCH($A19,C1_Gases!$D:$D,0))</f>
        <v>1500</v>
      </c>
      <c r="J19" s="12" t="n">
        <f aca="false">INDEX(C1_Gases!$F:$F,MATCH($A19,C1_Gases!$D:$D,0))</f>
        <v>19.053</v>
      </c>
      <c r="K19" s="6" t="s">
        <v>365</v>
      </c>
    </row>
    <row r="20" customFormat="false" ht="15" hidden="false" customHeight="false" outlineLevel="0" collapsed="false">
      <c r="A20" s="10" t="s">
        <v>171</v>
      </c>
      <c r="B20" s="6" t="s">
        <v>169</v>
      </c>
      <c r="C20" s="18"/>
      <c r="D20" s="18"/>
      <c r="E20" s="12" t="n">
        <f aca="false">INDEX(C1_Gases!$K:$K,MATCH($A20,C1_Gases!$D:$D,0))</f>
        <v>4.324</v>
      </c>
      <c r="F20" s="13" t="n">
        <f aca="false">INDEX(C1_Gases!$L:$L,MATCH($A20,C1_Gases!$D:$D,0))</f>
        <v>0.06496</v>
      </c>
      <c r="G20" s="13" t="n">
        <f aca="false">INDEX(C1_Gases!$M:$M,MATCH($A20,C1_Gases!$D:$D,0))</f>
        <v>-2.0521E-005</v>
      </c>
      <c r="H20" s="13" t="n">
        <f aca="false">INDEX(C1_Gases!$N:$N,MATCH($A20,C1_Gases!$D:$D,0))</f>
        <v>0</v>
      </c>
      <c r="I20" s="17" t="n">
        <f aca="false">INDEX(C1_Gases!$E:$E,MATCH($A20,C1_Gases!$D:$D,0))</f>
        <v>1500</v>
      </c>
      <c r="J20" s="12" t="n">
        <f aca="false">INDEX(C1_Gases!$F:$F,MATCH($A20,C1_Gases!$D:$D,0))</f>
        <v>21.868</v>
      </c>
      <c r="K20" s="19" t="s">
        <v>366</v>
      </c>
    </row>
    <row r="21" customFormat="false" ht="15" hidden="false" customHeight="false" outlineLevel="0" collapsed="false">
      <c r="A21" s="10" t="s">
        <v>174</v>
      </c>
      <c r="B21" s="6" t="s">
        <v>173</v>
      </c>
      <c r="C21" s="16" t="n">
        <f aca="false">INDEX(C4_Formacion!$G:$G,MATCH(A21&amp;"(g)",C4_Formacion!$F:$F,0))</f>
        <v>-166190</v>
      </c>
      <c r="D21" s="16" t="n">
        <f aca="false">INDEX(C4_Formacion!$H:$H,MATCH(A21&amp;"(g)",C4_Formacion!$F:$F,0))</f>
        <v>-128860</v>
      </c>
      <c r="E21" s="12" t="n">
        <f aca="false">INDEX(C1_Gases!$K:$K,MATCH($A21,C1_Gases!$D:$D,0))</f>
        <v>1.693</v>
      </c>
      <c r="F21" s="13" t="n">
        <f aca="false">INDEX(C1_Gases!$L:$L,MATCH($A21,C1_Gases!$D:$D,0))</f>
        <v>0.017978</v>
      </c>
      <c r="G21" s="13" t="n">
        <f aca="false">INDEX(C1_Gases!$M:$M,MATCH($A21,C1_Gases!$D:$D,0))</f>
        <v>-6.158E-006</v>
      </c>
      <c r="H21" s="13" t="n">
        <f aca="false">INDEX(C1_Gases!$N:$N,MATCH($A21,C1_Gases!$D:$D,0))</f>
        <v>0</v>
      </c>
      <c r="I21" s="17" t="n">
        <f aca="false">INDEX(C1_Gases!$E:$E,MATCH($A21,C1_Gases!$D:$D,0))</f>
        <v>1000</v>
      </c>
      <c r="J21" s="12" t="n">
        <f aca="false">INDEX(C1_Gases!$F:$F,MATCH($A21,C1_Gases!$D:$D,0))</f>
        <v>6.506</v>
      </c>
      <c r="K21" s="6" t="s">
        <v>365</v>
      </c>
    </row>
    <row r="22" customFormat="false" ht="15" hidden="false" customHeight="false" outlineLevel="0" collapsed="false">
      <c r="A22" s="10" t="s">
        <v>176</v>
      </c>
      <c r="B22" s="6" t="s">
        <v>175</v>
      </c>
      <c r="C22" s="16" t="n">
        <f aca="false">INDEX(C4_Formacion!$G:$G,MATCH(A22&amp;"(g)",C4_Formacion!$F:$F,0))</f>
        <v>227480</v>
      </c>
      <c r="D22" s="16" t="n">
        <f aca="false">INDEX(C4_Formacion!$H:$H,MATCH(A22&amp;"(g)",C4_Formacion!$F:$F,0))</f>
        <v>209970</v>
      </c>
      <c r="E22" s="12" t="n">
        <f aca="false">INDEX(C1_Gases!$K:$K,MATCH($A22,C1_Gases!$D:$D,0))</f>
        <v>6.132</v>
      </c>
      <c r="F22" s="13" t="n">
        <f aca="false">INDEX(C1_Gases!$L:$L,MATCH($A22,C1_Gases!$D:$D,0))</f>
        <v>0.001952</v>
      </c>
      <c r="G22" s="13" t="n">
        <f aca="false">INDEX(C1_Gases!$M:$M,MATCH($A22,C1_Gases!$D:$D,0))</f>
        <v>0</v>
      </c>
      <c r="H22" s="13" t="n">
        <f aca="false">INDEX(C1_Gases!$N:$N,MATCH($A22,C1_Gases!$D:$D,0))</f>
        <v>-129900</v>
      </c>
      <c r="I22" s="17" t="n">
        <f aca="false">INDEX(C1_Gases!$E:$E,MATCH($A22,C1_Gases!$D:$D,0))</f>
        <v>1500</v>
      </c>
      <c r="J22" s="12" t="n">
        <f aca="false">INDEX(C1_Gases!$F:$F,MATCH($A22,C1_Gases!$D:$D,0))</f>
        <v>5.253</v>
      </c>
      <c r="K22" s="6" t="s">
        <v>365</v>
      </c>
    </row>
    <row r="23" customFormat="false" ht="15" hidden="false" customHeight="false" outlineLevel="0" collapsed="false">
      <c r="A23" s="10" t="s">
        <v>178</v>
      </c>
      <c r="B23" s="6" t="s">
        <v>177</v>
      </c>
      <c r="C23" s="16" t="n">
        <f aca="false">INDEX(C4_Formacion!$G:$G,MATCH(A23&amp;"(g)",C4_Formacion!$F:$F,0))</f>
        <v>82930</v>
      </c>
      <c r="D23" s="16" t="n">
        <f aca="false">INDEX(C4_Formacion!$H:$H,MATCH(A23&amp;"(g)",C4_Formacion!$F:$F,0))</f>
        <v>129665</v>
      </c>
      <c r="E23" s="12" t="n">
        <f aca="false">INDEX(C1_Gases!$K:$K,MATCH($A23,C1_Gases!$D:$D,0))</f>
        <v>-0.206</v>
      </c>
      <c r="F23" s="13" t="n">
        <f aca="false">INDEX(C1_Gases!$L:$L,MATCH($A23,C1_Gases!$D:$D,0))</f>
        <v>0.039064</v>
      </c>
      <c r="G23" s="13" t="n">
        <f aca="false">INDEX(C1_Gases!$M:$M,MATCH($A23,C1_Gases!$D:$D,0))</f>
        <v>-1.3301E-005</v>
      </c>
      <c r="H23" s="13" t="n">
        <f aca="false">INDEX(C1_Gases!$N:$N,MATCH($A23,C1_Gases!$D:$D,0))</f>
        <v>0</v>
      </c>
      <c r="I23" s="17" t="n">
        <f aca="false">INDEX(C1_Gases!$E:$E,MATCH($A23,C1_Gases!$D:$D,0))</f>
        <v>1500</v>
      </c>
      <c r="J23" s="12" t="n">
        <f aca="false">INDEX(C1_Gases!$F:$F,MATCH($A23,C1_Gases!$D:$D,0))</f>
        <v>10.259</v>
      </c>
      <c r="K23" s="6" t="s">
        <v>365</v>
      </c>
    </row>
    <row r="24" customFormat="false" ht="15" hidden="false" customHeight="false" outlineLevel="0" collapsed="false">
      <c r="A24" s="10" t="s">
        <v>180</v>
      </c>
      <c r="B24" s="6" t="s">
        <v>179</v>
      </c>
      <c r="C24" s="16" t="n">
        <f aca="false">INDEX(C4_Formacion!$G:$G,MATCH(A24&amp;"(g)",C4_Formacion!$F:$F,0))</f>
        <v>109240</v>
      </c>
      <c r="D24" s="16" t="n">
        <f aca="false">INDEX(C4_Formacion!$H:$H,MATCH(A24&amp;"(g)",C4_Formacion!$F:$F,0))</f>
        <v>149795</v>
      </c>
      <c r="E24" s="12" t="n">
        <f aca="false">INDEX(C1_Gases!$K:$K,MATCH($A24,C1_Gases!$D:$D,0))</f>
        <v>2.734</v>
      </c>
      <c r="F24" s="13" t="n">
        <f aca="false">INDEX(C1_Gases!$L:$L,MATCH($A24,C1_Gases!$D:$D,0))</f>
        <v>0.026786</v>
      </c>
      <c r="G24" s="13" t="n">
        <f aca="false">INDEX(C1_Gases!$M:$M,MATCH($A24,C1_Gases!$D:$D,0))</f>
        <v>-8.882E-006</v>
      </c>
      <c r="H24" s="13" t="n">
        <f aca="false">INDEX(C1_Gases!$N:$N,MATCH($A24,C1_Gases!$D:$D,0))</f>
        <v>0</v>
      </c>
      <c r="I24" s="17" t="n">
        <f aca="false">INDEX(C1_Gases!$E:$E,MATCH($A24,C1_Gases!$D:$D,0))</f>
        <v>1500</v>
      </c>
      <c r="J24" s="12" t="n">
        <f aca="false">INDEX(C1_Gases!$F:$F,MATCH($A24,C1_Gases!$D:$D,0))</f>
        <v>10.72</v>
      </c>
      <c r="K24" s="6" t="s">
        <v>365</v>
      </c>
    </row>
    <row r="25" customFormat="false" ht="15" hidden="false" customHeight="false" outlineLevel="0" collapsed="false">
      <c r="A25" s="10" t="s">
        <v>182</v>
      </c>
      <c r="B25" s="6" t="s">
        <v>181</v>
      </c>
      <c r="C25" s="16" t="n">
        <f aca="false">INDEX(C4_Formacion!$G:$G,MATCH(A25&amp;"(g)",C4_Formacion!$F:$F,0))</f>
        <v>-123140</v>
      </c>
      <c r="D25" s="16" t="n">
        <f aca="false">INDEX(C4_Formacion!$H:$H,MATCH(A25&amp;"(g)",C4_Formacion!$F:$F,0))</f>
        <v>31920</v>
      </c>
      <c r="E25" s="12" t="n">
        <f aca="false">INDEX(C1_Gases!$K:$K,MATCH($A25,C1_Gases!$D:$D,0))</f>
        <v>-3.876</v>
      </c>
      <c r="F25" s="13" t="n">
        <f aca="false">INDEX(C1_Gases!$L:$L,MATCH($A25,C1_Gases!$D:$D,0))</f>
        <v>0.063249</v>
      </c>
      <c r="G25" s="13" t="n">
        <f aca="false">INDEX(C1_Gases!$M:$M,MATCH($A25,C1_Gases!$D:$D,0))</f>
        <v>-2.0928E-005</v>
      </c>
      <c r="H25" s="13" t="n">
        <f aca="false">INDEX(C1_Gases!$N:$N,MATCH($A25,C1_Gases!$D:$D,0))</f>
        <v>0</v>
      </c>
      <c r="I25" s="17" t="n">
        <f aca="false">INDEX(C1_Gases!$E:$E,MATCH($A25,C1_Gases!$D:$D,0))</f>
        <v>1500</v>
      </c>
      <c r="J25" s="12" t="n">
        <f aca="false">INDEX(C1_Gases!$F:$F,MATCH($A25,C1_Gases!$D:$D,0))</f>
        <v>13.121</v>
      </c>
      <c r="K25" s="6" t="s">
        <v>365</v>
      </c>
    </row>
    <row r="26" customFormat="false" ht="15" hidden="false" customHeight="false" outlineLevel="0" collapsed="false">
      <c r="A26" s="10" t="s">
        <v>184</v>
      </c>
      <c r="B26" s="6" t="s">
        <v>183</v>
      </c>
      <c r="C26" s="16" t="n">
        <f aca="false">INDEX(C4_Formacion!$G:$G,MATCH(A26&amp;"(g)",C4_Formacion!$F:$F,0))</f>
        <v>-235100</v>
      </c>
      <c r="D26" s="16" t="n">
        <f aca="false">INDEX(C4_Formacion!$H:$H,MATCH(A26&amp;"(g)",C4_Formacion!$F:$F,0))</f>
        <v>-168490</v>
      </c>
      <c r="E26" s="12" t="n">
        <f aca="false">INDEX(C1_Gases!$K:$K,MATCH($A26,C1_Gases!$D:$D,0))</f>
        <v>3.518</v>
      </c>
      <c r="F26" s="13" t="n">
        <f aca="false">INDEX(C1_Gases!$L:$L,MATCH($A26,C1_Gases!$D:$D,0))</f>
        <v>0.020001</v>
      </c>
      <c r="G26" s="13" t="n">
        <f aca="false">INDEX(C1_Gases!$M:$M,MATCH($A26,C1_Gases!$D:$D,0))</f>
        <v>-6.002E-006</v>
      </c>
      <c r="H26" s="13" t="n">
        <f aca="false">INDEX(C1_Gases!$N:$N,MATCH($A26,C1_Gases!$D:$D,0))</f>
        <v>0</v>
      </c>
      <c r="I26" s="17" t="n">
        <f aca="false">INDEX(C1_Gases!$E:$E,MATCH($A26,C1_Gases!$D:$D,0))</f>
        <v>1500</v>
      </c>
      <c r="J26" s="12" t="n">
        <f aca="false">INDEX(C1_Gases!$F:$F,MATCH($A26,C1_Gases!$D:$D,0))</f>
        <v>8.948</v>
      </c>
      <c r="K26" s="6" t="s">
        <v>365</v>
      </c>
    </row>
    <row r="27" customFormat="false" ht="15" hidden="false" customHeight="false" outlineLevel="0" collapsed="false">
      <c r="A27" s="10" t="s">
        <v>186</v>
      </c>
      <c r="B27" s="6" t="s">
        <v>185</v>
      </c>
      <c r="C27" s="16" t="n">
        <f aca="false">INDEX(C4_Formacion!$G:$G,MATCH(A27&amp;"(g)",C4_Formacion!$F:$F,0))</f>
        <v>29920</v>
      </c>
      <c r="D27" s="16" t="n">
        <f aca="false">INDEX(C4_Formacion!$H:$H,MATCH(A27&amp;"(g)",C4_Formacion!$F:$F,0))</f>
        <v>130890</v>
      </c>
      <c r="E27" s="12" t="n">
        <f aca="false">INDEX(C1_Gases!$K:$K,MATCH($A27,C1_Gases!$D:$D,0))</f>
        <v>1.124</v>
      </c>
      <c r="F27" s="13" t="n">
        <f aca="false">INDEX(C1_Gases!$L:$L,MATCH($A27,C1_Gases!$D:$D,0))</f>
        <v>0.05538</v>
      </c>
      <c r="G27" s="13" t="n">
        <f aca="false">INDEX(C1_Gases!$M:$M,MATCH($A27,C1_Gases!$D:$D,0))</f>
        <v>-1.8476E-005</v>
      </c>
      <c r="H27" s="13" t="n">
        <f aca="false">INDEX(C1_Gases!$N:$N,MATCH($A27,C1_Gases!$D:$D,0))</f>
        <v>0</v>
      </c>
      <c r="I27" s="17" t="n">
        <f aca="false">INDEX(C1_Gases!$E:$E,MATCH($A27,C1_Gases!$D:$D,0))</f>
        <v>1500</v>
      </c>
      <c r="J27" s="12" t="n">
        <f aca="false">INDEX(C1_Gases!$F:$F,MATCH($A27,C1_Gases!$D:$D,0))</f>
        <v>15.993</v>
      </c>
      <c r="K27" s="6" t="s">
        <v>365</v>
      </c>
    </row>
    <row r="28" customFormat="false" ht="15" hidden="false" customHeight="false" outlineLevel="0" collapsed="false">
      <c r="A28" s="10" t="s">
        <v>189</v>
      </c>
      <c r="B28" s="6" t="s">
        <v>187</v>
      </c>
      <c r="C28" s="16" t="n">
        <f aca="false">INDEX(C4_Formacion!$G:$G,MATCH(A28&amp;"(g)",C4_Formacion!$F:$F,0))</f>
        <v>-52630</v>
      </c>
      <c r="D28" s="16" t="n">
        <f aca="false">INDEX(C4_Formacion!$H:$H,MATCH(A28&amp;"(g)",C4_Formacion!$F:$F,0))</f>
        <v>-13010</v>
      </c>
      <c r="E28" s="12" t="n">
        <f aca="false">INDEX(C1_Gases!$K:$K,MATCH($A28,C1_Gases!$D:$D,0))</f>
        <v>-0.385</v>
      </c>
      <c r="F28" s="13" t="n">
        <f aca="false">INDEX(C1_Gases!$L:$L,MATCH($A28,C1_Gases!$D:$D,0))</f>
        <v>0.023463</v>
      </c>
      <c r="G28" s="13" t="n">
        <f aca="false">INDEX(C1_Gases!$M:$M,MATCH($A28,C1_Gases!$D:$D,0))</f>
        <v>-9.296E-006</v>
      </c>
      <c r="H28" s="13" t="n">
        <f aca="false">INDEX(C1_Gases!$N:$N,MATCH($A28,C1_Gases!$D:$D,0))</f>
        <v>0</v>
      </c>
      <c r="I28" s="17" t="n">
        <f aca="false">INDEX(C1_Gases!$E:$E,MATCH($A28,C1_Gases!$D:$D,0))</f>
        <v>1000</v>
      </c>
      <c r="J28" s="12" t="n">
        <f aca="false">INDEX(C1_Gases!$F:$F,MATCH($A28,C1_Gases!$D:$D,0))</f>
        <v>5.784</v>
      </c>
      <c r="K28" s="6" t="s">
        <v>365</v>
      </c>
    </row>
    <row r="29" customFormat="false" ht="15" hidden="false" customHeight="false" outlineLevel="0" collapsed="false">
      <c r="A29" s="10" t="s">
        <v>191</v>
      </c>
      <c r="B29" s="6" t="s">
        <v>190</v>
      </c>
      <c r="C29" s="16" t="n">
        <f aca="false">INDEX(C4_Formacion!$G:$G,MATCH(A29&amp;"(g)",C4_Formacion!$F:$F,0))</f>
        <v>-108570</v>
      </c>
      <c r="D29" s="16" t="n">
        <f aca="false">INDEX(C4_Formacion!$H:$H,MATCH(A29&amp;"(g)",C4_Formacion!$F:$F,0))</f>
        <v>-102530</v>
      </c>
      <c r="E29" s="12" t="n">
        <f aca="false">INDEX(C1_Gases!$K:$K,MATCH($A29,C1_Gases!$D:$D,0))</f>
        <v>2.264</v>
      </c>
      <c r="F29" s="13" t="n">
        <f aca="false">INDEX(C1_Gases!$L:$L,MATCH($A29,C1_Gases!$D:$D,0))</f>
        <v>0.007022</v>
      </c>
      <c r="G29" s="13" t="n">
        <f aca="false">INDEX(C1_Gases!$M:$M,MATCH($A29,C1_Gases!$D:$D,0))</f>
        <v>-1.877E-006</v>
      </c>
      <c r="H29" s="13" t="n">
        <f aca="false">INDEX(C1_Gases!$N:$N,MATCH($A29,C1_Gases!$D:$D,0))</f>
        <v>0</v>
      </c>
      <c r="I29" s="17" t="n">
        <f aca="false">INDEX(C1_Gases!$E:$E,MATCH($A29,C1_Gases!$D:$D,0))</f>
        <v>1500</v>
      </c>
      <c r="J29" s="12" t="n">
        <f aca="false">INDEX(C1_Gases!$F:$F,MATCH($A29,C1_Gases!$D:$D,0))</f>
        <v>4.191</v>
      </c>
      <c r="K29" s="6" t="s">
        <v>365</v>
      </c>
    </row>
    <row r="30" customFormat="false" ht="15" hidden="false" customHeight="false" outlineLevel="0" collapsed="false">
      <c r="A30" s="10" t="s">
        <v>193</v>
      </c>
      <c r="B30" s="6" t="s">
        <v>192</v>
      </c>
      <c r="C30" s="16" t="n">
        <f aca="false">INDEX(C4_Formacion!$G:$G,MATCH(A30&amp;"(g)",C4_Formacion!$F:$F,0))</f>
        <v>-200660</v>
      </c>
      <c r="D30" s="16" t="n">
        <f aca="false">INDEX(C4_Formacion!$H:$H,MATCH(A30&amp;"(g)",C4_Formacion!$F:$F,0))</f>
        <v>-161960</v>
      </c>
      <c r="E30" s="12" t="n">
        <f aca="false">INDEX(C1_Gases!$K:$K,MATCH($A30,C1_Gases!$D:$D,0))</f>
        <v>2.211</v>
      </c>
      <c r="F30" s="13" t="n">
        <f aca="false">INDEX(C1_Gases!$L:$L,MATCH($A30,C1_Gases!$D:$D,0))</f>
        <v>0.012216</v>
      </c>
      <c r="G30" s="13" t="n">
        <f aca="false">INDEX(C1_Gases!$M:$M,MATCH($A30,C1_Gases!$D:$D,0))</f>
        <v>-3.45E-006</v>
      </c>
      <c r="H30" s="13" t="n">
        <f aca="false">INDEX(C1_Gases!$N:$N,MATCH($A30,C1_Gases!$D:$D,0))</f>
        <v>0</v>
      </c>
      <c r="I30" s="17" t="n">
        <f aca="false">INDEX(C1_Gases!$E:$E,MATCH($A30,C1_Gases!$D:$D,0))</f>
        <v>1500</v>
      </c>
      <c r="J30" s="12" t="n">
        <f aca="false">INDEX(C1_Gases!$F:$F,MATCH($A30,C1_Gases!$D:$D,0))</f>
        <v>5.547</v>
      </c>
      <c r="K30" s="6" t="s">
        <v>365</v>
      </c>
    </row>
    <row r="31" customFormat="false" ht="15" hidden="false" customHeight="false" outlineLevel="0" collapsed="false">
      <c r="A31" s="10" t="s">
        <v>195</v>
      </c>
      <c r="B31" s="6" t="s">
        <v>194</v>
      </c>
      <c r="C31" s="16" t="n">
        <f aca="false">INDEX(C4_Formacion!$G:$G,MATCH(A31&amp;"(g)",C4_Formacion!$F:$F,0))</f>
        <v>147360</v>
      </c>
      <c r="D31" s="16" t="n">
        <f aca="false">INDEX(C4_Formacion!$H:$H,MATCH(A31&amp;"(g)",C4_Formacion!$F:$F,0))</f>
        <v>213900</v>
      </c>
      <c r="E31" s="12" t="n">
        <f aca="false">INDEX(C1_Gases!$K:$K,MATCH($A31,C1_Gases!$D:$D,0))</f>
        <v>2.05</v>
      </c>
      <c r="F31" s="13" t="n">
        <f aca="false">INDEX(C1_Gases!$L:$L,MATCH($A31,C1_Gases!$D:$D,0))</f>
        <v>0.050192</v>
      </c>
      <c r="G31" s="13" t="n">
        <f aca="false">INDEX(C1_Gases!$M:$M,MATCH($A31,C1_Gases!$D:$D,0))</f>
        <v>-1.6662E-005</v>
      </c>
      <c r="H31" s="13" t="n">
        <f aca="false">INDEX(C1_Gases!$N:$N,MATCH($A31,C1_Gases!$D:$D,0))</f>
        <v>0</v>
      </c>
      <c r="I31" s="17" t="n">
        <f aca="false">INDEX(C1_Gases!$E:$E,MATCH($A31,C1_Gases!$D:$D,0))</f>
        <v>1500</v>
      </c>
      <c r="J31" s="12" t="n">
        <f aca="false">INDEX(C1_Gases!$F:$F,MATCH($A31,C1_Gases!$D:$D,0))</f>
        <v>15.534</v>
      </c>
      <c r="K31" s="6" t="s">
        <v>365</v>
      </c>
    </row>
    <row r="32" customFormat="false" ht="15" hidden="false" customHeight="false" outlineLevel="0" collapsed="false">
      <c r="A32" s="10" t="s">
        <v>197</v>
      </c>
      <c r="B32" s="6" t="s">
        <v>196</v>
      </c>
      <c r="C32" s="16" t="n">
        <f aca="false">INDEX(C4_Formacion!$G:$G,MATCH(A32&amp;"(g)",C4_Formacion!$F:$F,0))</f>
        <v>50170</v>
      </c>
      <c r="D32" s="16" t="n">
        <f aca="false">INDEX(C4_Formacion!$H:$H,MATCH(A32&amp;"(g)",C4_Formacion!$F:$F,0))</f>
        <v>122050</v>
      </c>
      <c r="E32" s="12" t="n">
        <f aca="false">INDEX(C1_Gases!$K:$K,MATCH($A32,C1_Gases!$D:$D,0))</f>
        <v>0.29</v>
      </c>
      <c r="F32" s="13" t="n">
        <f aca="false">INDEX(C1_Gases!$L:$L,MATCH($A32,C1_Gases!$D:$D,0))</f>
        <v>0.047052</v>
      </c>
      <c r="G32" s="13" t="n">
        <f aca="false">INDEX(C1_Gases!$M:$M,MATCH($A32,C1_Gases!$D:$D,0))</f>
        <v>-1.5716E-005</v>
      </c>
      <c r="H32" s="13" t="n">
        <f aca="false">INDEX(C1_Gases!$N:$N,MATCH($A32,C1_Gases!$D:$D,0))</f>
        <v>0</v>
      </c>
      <c r="I32" s="17" t="n">
        <f aca="false">INDEX(C1_Gases!$E:$E,MATCH($A32,C1_Gases!$D:$D,0))</f>
        <v>1500</v>
      </c>
      <c r="J32" s="12" t="n">
        <f aca="false">INDEX(C1_Gases!$F:$F,MATCH($A32,C1_Gases!$D:$D,0))</f>
        <v>12.922</v>
      </c>
      <c r="K32" s="6" t="s">
        <v>365</v>
      </c>
    </row>
    <row r="33" customFormat="false" ht="15" hidden="false" customHeight="false" outlineLevel="0" collapsed="false">
      <c r="A33" s="10" t="s">
        <v>201</v>
      </c>
      <c r="B33" s="6" t="s">
        <v>200</v>
      </c>
      <c r="C33" s="16" t="n">
        <f aca="false">INDEX(C4_Formacion!$G:$G,MATCH(A33&amp;"(g)",C4_Formacion!$F:$F,0))</f>
        <v>-46110</v>
      </c>
      <c r="D33" s="16" t="n">
        <f aca="false">INDEX(C4_Formacion!$H:$H,MATCH(A33&amp;"(g)",C4_Formacion!$F:$F,0))</f>
        <v>-16450</v>
      </c>
      <c r="E33" s="12" t="n">
        <f aca="false">INDEX(C1_Gases!$K:$K,MATCH($A33,C1_Gases!$D:$D,0))</f>
        <v>3.578</v>
      </c>
      <c r="F33" s="13" t="n">
        <f aca="false">INDEX(C1_Gases!$L:$L,MATCH($A33,C1_Gases!$D:$D,0))</f>
        <v>0.00302</v>
      </c>
      <c r="G33" s="13" t="n">
        <f aca="false">INDEX(C1_Gases!$M:$M,MATCH($A33,C1_Gases!$D:$D,0))</f>
        <v>0</v>
      </c>
      <c r="H33" s="13" t="n">
        <f aca="false">INDEX(C1_Gases!$N:$N,MATCH($A33,C1_Gases!$D:$D,0))</f>
        <v>-18600</v>
      </c>
      <c r="I33" s="17" t="n">
        <f aca="false">INDEX(C1_Gases!$E:$E,MATCH($A33,C1_Gases!$D:$D,0))</f>
        <v>1800</v>
      </c>
      <c r="J33" s="12" t="n">
        <f aca="false">INDEX(C1_Gases!$F:$F,MATCH($A33,C1_Gases!$D:$D,0))</f>
        <v>4.269</v>
      </c>
      <c r="K33" s="6" t="s">
        <v>365</v>
      </c>
    </row>
    <row r="34" customFormat="false" ht="15" hidden="false" customHeight="false" outlineLevel="0" collapsed="false">
      <c r="A34" s="10" t="s">
        <v>204</v>
      </c>
      <c r="B34" s="6" t="s">
        <v>202</v>
      </c>
      <c r="C34" s="18"/>
      <c r="D34" s="18"/>
      <c r="E34" s="12" t="n">
        <f aca="false">INDEX(C1_Gases!$K:$K,MATCH($A34,C1_Gases!$D:$D,0))</f>
        <v>4.493</v>
      </c>
      <c r="F34" s="13" t="n">
        <f aca="false">INDEX(C1_Gases!$L:$L,MATCH($A34,C1_Gases!$D:$D,0))</f>
        <v>5.6E-005</v>
      </c>
      <c r="G34" s="13" t="n">
        <f aca="false">INDEX(C1_Gases!$M:$M,MATCH($A34,C1_Gases!$D:$D,0))</f>
        <v>0</v>
      </c>
      <c r="H34" s="13" t="n">
        <f aca="false">INDEX(C1_Gases!$N:$N,MATCH($A34,C1_Gases!$D:$D,0))</f>
        <v>-15400</v>
      </c>
      <c r="I34" s="17" t="n">
        <f aca="false">INDEX(C1_Gases!$E:$E,MATCH($A34,C1_Gases!$D:$D,0))</f>
        <v>3000</v>
      </c>
      <c r="J34" s="12" t="n">
        <f aca="false">INDEX(C1_Gases!$F:$F,MATCH($A34,C1_Gases!$D:$D,0))</f>
        <v>4.337</v>
      </c>
      <c r="K34" s="19" t="s">
        <v>366</v>
      </c>
    </row>
    <row r="35" customFormat="false" ht="15" hidden="false" customHeight="false" outlineLevel="0" collapsed="false">
      <c r="A35" s="10" t="s">
        <v>206</v>
      </c>
      <c r="B35" s="6" t="s">
        <v>205</v>
      </c>
      <c r="C35" s="16" t="n">
        <f aca="false">INDEX(C4_Formacion!$G:$G,MATCH(A35&amp;"(g)",C4_Formacion!$F:$F,0))</f>
        <v>-110525</v>
      </c>
      <c r="D35" s="16" t="n">
        <f aca="false">INDEX(C4_Formacion!$H:$H,MATCH(A35&amp;"(g)",C4_Formacion!$F:$F,0))</f>
        <v>-137169</v>
      </c>
      <c r="E35" s="12" t="n">
        <f aca="false">INDEX(C1_Gases!$K:$K,MATCH($A35,C1_Gases!$D:$D,0))</f>
        <v>3.376</v>
      </c>
      <c r="F35" s="13" t="n">
        <f aca="false">INDEX(C1_Gases!$L:$L,MATCH($A35,C1_Gases!$D:$D,0))</f>
        <v>0.000557</v>
      </c>
      <c r="G35" s="13" t="n">
        <f aca="false">INDEX(C1_Gases!$M:$M,MATCH($A35,C1_Gases!$D:$D,0))</f>
        <v>0</v>
      </c>
      <c r="H35" s="13" t="n">
        <f aca="false">INDEX(C1_Gases!$N:$N,MATCH($A35,C1_Gases!$D:$D,0))</f>
        <v>-3100</v>
      </c>
      <c r="I35" s="17" t="n">
        <f aca="false">INDEX(C1_Gases!$E:$E,MATCH($A35,C1_Gases!$D:$D,0))</f>
        <v>2500</v>
      </c>
      <c r="J35" s="12" t="n">
        <f aca="false">INDEX(C1_Gases!$F:$F,MATCH($A35,C1_Gases!$D:$D,0))</f>
        <v>3.507</v>
      </c>
      <c r="K35" s="6" t="s">
        <v>365</v>
      </c>
    </row>
    <row r="36" customFormat="false" ht="15" hidden="false" customHeight="false" outlineLevel="0" collapsed="false">
      <c r="A36" s="10" t="s">
        <v>208</v>
      </c>
      <c r="B36" s="6" t="s">
        <v>207</v>
      </c>
      <c r="C36" s="16" t="n">
        <f aca="false">INDEX(C4_Formacion!$G:$G,MATCH(A36&amp;"(g)",C4_Formacion!$F:$F,0))</f>
        <v>-393509</v>
      </c>
      <c r="D36" s="16" t="n">
        <f aca="false">INDEX(C4_Formacion!$H:$H,MATCH(A36&amp;"(g)",C4_Formacion!$F:$F,0))</f>
        <v>-394359</v>
      </c>
      <c r="E36" s="12" t="n">
        <f aca="false">INDEX(C1_Gases!$K:$K,MATCH($A36,C1_Gases!$D:$D,0))</f>
        <v>5.457</v>
      </c>
      <c r="F36" s="13" t="n">
        <f aca="false">INDEX(C1_Gases!$L:$L,MATCH($A36,C1_Gases!$D:$D,0))</f>
        <v>0.001045</v>
      </c>
      <c r="G36" s="13" t="n">
        <f aca="false">INDEX(C1_Gases!$M:$M,MATCH($A36,C1_Gases!$D:$D,0))</f>
        <v>0</v>
      </c>
      <c r="H36" s="13" t="n">
        <f aca="false">INDEX(C1_Gases!$N:$N,MATCH($A36,C1_Gases!$D:$D,0))</f>
        <v>-115700</v>
      </c>
      <c r="I36" s="17" t="n">
        <f aca="false">INDEX(C1_Gases!$E:$E,MATCH($A36,C1_Gases!$D:$D,0))</f>
        <v>2000</v>
      </c>
      <c r="J36" s="12" t="n">
        <f aca="false">INDEX(C1_Gases!$F:$F,MATCH($A36,C1_Gases!$D:$D,0))</f>
        <v>4.467</v>
      </c>
      <c r="K36" s="6" t="s">
        <v>365</v>
      </c>
    </row>
    <row r="37" customFormat="false" ht="15" hidden="false" customHeight="false" outlineLevel="0" collapsed="false">
      <c r="A37" s="10" t="s">
        <v>210</v>
      </c>
      <c r="B37" s="6" t="s">
        <v>209</v>
      </c>
      <c r="C37" s="18"/>
      <c r="D37" s="18"/>
      <c r="E37" s="12" t="n">
        <f aca="false">INDEX(C1_Gases!$K:$K,MATCH($A37,C1_Gases!$D:$D,0))</f>
        <v>6.311</v>
      </c>
      <c r="F37" s="13" t="n">
        <f aca="false">INDEX(C1_Gases!$L:$L,MATCH($A37,C1_Gases!$D:$D,0))</f>
        <v>0.000805</v>
      </c>
      <c r="G37" s="13" t="n">
        <f aca="false">INDEX(C1_Gases!$M:$M,MATCH($A37,C1_Gases!$D:$D,0))</f>
        <v>0</v>
      </c>
      <c r="H37" s="13" t="n">
        <f aca="false">INDEX(C1_Gases!$N:$N,MATCH($A37,C1_Gases!$D:$D,0))</f>
        <v>-90600</v>
      </c>
      <c r="I37" s="17" t="n">
        <f aca="false">INDEX(C1_Gases!$E:$E,MATCH($A37,C1_Gases!$D:$D,0))</f>
        <v>1800</v>
      </c>
      <c r="J37" s="12" t="n">
        <f aca="false">INDEX(C1_Gases!$F:$F,MATCH($A37,C1_Gases!$D:$D,0))</f>
        <v>5.532</v>
      </c>
      <c r="K37" s="19" t="s">
        <v>366</v>
      </c>
    </row>
    <row r="38" customFormat="false" ht="15" hidden="false" customHeight="false" outlineLevel="0" collapsed="false">
      <c r="A38" s="10" t="s">
        <v>212</v>
      </c>
      <c r="B38" s="6" t="s">
        <v>211</v>
      </c>
      <c r="C38" s="15" t="n">
        <v>0</v>
      </c>
      <c r="D38" s="15" t="n">
        <v>0</v>
      </c>
      <c r="E38" s="12" t="n">
        <f aca="false">INDEX(C1_Gases!$K:$K,MATCH($A38,C1_Gases!$D:$D,0))</f>
        <v>4.442</v>
      </c>
      <c r="F38" s="13" t="n">
        <f aca="false">INDEX(C1_Gases!$L:$L,MATCH($A38,C1_Gases!$D:$D,0))</f>
        <v>8.9E-005</v>
      </c>
      <c r="G38" s="13" t="n">
        <f aca="false">INDEX(C1_Gases!$M:$M,MATCH($A38,C1_Gases!$D:$D,0))</f>
        <v>0</v>
      </c>
      <c r="H38" s="13" t="n">
        <f aca="false">INDEX(C1_Gases!$N:$N,MATCH($A38,C1_Gases!$D:$D,0))</f>
        <v>-34400</v>
      </c>
      <c r="I38" s="17" t="n">
        <f aca="false">INDEX(C1_Gases!$E:$E,MATCH($A38,C1_Gases!$D:$D,0))</f>
        <v>3000</v>
      </c>
      <c r="J38" s="12" t="n">
        <f aca="false">INDEX(C1_Gases!$F:$F,MATCH($A38,C1_Gases!$D:$D,0))</f>
        <v>4.082</v>
      </c>
      <c r="K38" s="6" t="s">
        <v>367</v>
      </c>
    </row>
    <row r="39" customFormat="false" ht="15" hidden="false" customHeight="false" outlineLevel="0" collapsed="false">
      <c r="A39" s="10" t="s">
        <v>214</v>
      </c>
      <c r="B39" s="6" t="s">
        <v>213</v>
      </c>
      <c r="C39" s="15" t="n">
        <v>0</v>
      </c>
      <c r="D39" s="15" t="n">
        <v>0</v>
      </c>
      <c r="E39" s="12" t="n">
        <f aca="false">INDEX(C1_Gases!$K:$K,MATCH($A39,C1_Gases!$D:$D,0))</f>
        <v>3.249</v>
      </c>
      <c r="F39" s="13" t="n">
        <f aca="false">INDEX(C1_Gases!$L:$L,MATCH($A39,C1_Gases!$D:$D,0))</f>
        <v>0.000422</v>
      </c>
      <c r="G39" s="13" t="n">
        <f aca="false">INDEX(C1_Gases!$M:$M,MATCH($A39,C1_Gases!$D:$D,0))</f>
        <v>0</v>
      </c>
      <c r="H39" s="13" t="n">
        <f aca="false">INDEX(C1_Gases!$N:$N,MATCH($A39,C1_Gases!$D:$D,0))</f>
        <v>8300</v>
      </c>
      <c r="I39" s="17" t="n">
        <f aca="false">INDEX(C1_Gases!$E:$E,MATCH($A39,C1_Gases!$D:$D,0))</f>
        <v>3000</v>
      </c>
      <c r="J39" s="12" t="n">
        <f aca="false">INDEX(C1_Gases!$F:$F,MATCH($A39,C1_Gases!$D:$D,0))</f>
        <v>3.468</v>
      </c>
      <c r="K39" s="6" t="s">
        <v>367</v>
      </c>
    </row>
    <row r="40" customFormat="false" ht="15" hidden="false" customHeight="false" outlineLevel="0" collapsed="false">
      <c r="A40" s="10" t="s">
        <v>216</v>
      </c>
      <c r="B40" s="6" t="s">
        <v>215</v>
      </c>
      <c r="C40" s="16" t="n">
        <f aca="false">INDEX(C4_Formacion!$G:$G,MATCH(A40&amp;"(g)",C4_Formacion!$F:$F,0))</f>
        <v>-20630</v>
      </c>
      <c r="D40" s="16" t="n">
        <f aca="false">INDEX(C4_Formacion!$H:$H,MATCH(A40&amp;"(g)",C4_Formacion!$F:$F,0))</f>
        <v>-33560</v>
      </c>
      <c r="E40" s="12" t="n">
        <f aca="false">INDEX(C1_Gases!$K:$K,MATCH($A40,C1_Gases!$D:$D,0))</f>
        <v>3.931</v>
      </c>
      <c r="F40" s="13" t="n">
        <f aca="false">INDEX(C1_Gases!$L:$L,MATCH($A40,C1_Gases!$D:$D,0))</f>
        <v>0.00149</v>
      </c>
      <c r="G40" s="13" t="n">
        <f aca="false">INDEX(C1_Gases!$M:$M,MATCH($A40,C1_Gases!$D:$D,0))</f>
        <v>0</v>
      </c>
      <c r="H40" s="13" t="n">
        <f aca="false">INDEX(C1_Gases!$N:$N,MATCH($A40,C1_Gases!$D:$D,0))</f>
        <v>-23200</v>
      </c>
      <c r="I40" s="17" t="n">
        <f aca="false">INDEX(C1_Gases!$E:$E,MATCH($A40,C1_Gases!$D:$D,0))</f>
        <v>2300</v>
      </c>
      <c r="J40" s="12" t="n">
        <f aca="false">INDEX(C1_Gases!$F:$F,MATCH($A40,C1_Gases!$D:$D,0))</f>
        <v>4.114</v>
      </c>
      <c r="K40" s="6" t="s">
        <v>365</v>
      </c>
    </row>
    <row r="41" customFormat="false" ht="15" hidden="false" customHeight="false" outlineLevel="0" collapsed="false">
      <c r="A41" s="10" t="s">
        <v>218</v>
      </c>
      <c r="B41" s="6" t="s">
        <v>217</v>
      </c>
      <c r="C41" s="16" t="n">
        <f aca="false">INDEX(C4_Formacion!$G:$G,MATCH(A41&amp;"(g)",C4_Formacion!$F:$F,0))</f>
        <v>-92307</v>
      </c>
      <c r="D41" s="16" t="n">
        <f aca="false">INDEX(C4_Formacion!$H:$H,MATCH(A41&amp;"(g)",C4_Formacion!$F:$F,0))</f>
        <v>-95299</v>
      </c>
      <c r="E41" s="12" t="n">
        <f aca="false">INDEX(C1_Gases!$K:$K,MATCH($A41,C1_Gases!$D:$D,0))</f>
        <v>3.156</v>
      </c>
      <c r="F41" s="13" t="n">
        <f aca="false">INDEX(C1_Gases!$L:$L,MATCH($A41,C1_Gases!$D:$D,0))</f>
        <v>0.000623</v>
      </c>
      <c r="G41" s="13" t="n">
        <f aca="false">INDEX(C1_Gases!$M:$M,MATCH($A41,C1_Gases!$D:$D,0))</f>
        <v>0</v>
      </c>
      <c r="H41" s="13" t="n">
        <f aca="false">INDEX(C1_Gases!$N:$N,MATCH($A41,C1_Gases!$D:$D,0))</f>
        <v>15100</v>
      </c>
      <c r="I41" s="17" t="n">
        <f aca="false">INDEX(C1_Gases!$E:$E,MATCH($A41,C1_Gases!$D:$D,0))</f>
        <v>2000</v>
      </c>
      <c r="J41" s="12" t="n">
        <f aca="false">INDEX(C1_Gases!$F:$F,MATCH($A41,C1_Gases!$D:$D,0))</f>
        <v>3.512</v>
      </c>
      <c r="K41" s="6" t="s">
        <v>365</v>
      </c>
    </row>
    <row r="42" customFormat="false" ht="15" hidden="false" customHeight="false" outlineLevel="0" collapsed="false">
      <c r="A42" s="10" t="s">
        <v>220</v>
      </c>
      <c r="B42" s="6" t="s">
        <v>219</v>
      </c>
      <c r="C42" s="16" t="n">
        <f aca="false">INDEX(C4_Formacion!$G:$G,MATCH(A42&amp;"(g)",C4_Formacion!$F:$F,0))</f>
        <v>135100</v>
      </c>
      <c r="D42" s="16" t="n">
        <f aca="false">INDEX(C4_Formacion!$H:$H,MATCH(A42&amp;"(g)",C4_Formacion!$F:$F,0))</f>
        <v>124700</v>
      </c>
      <c r="E42" s="12" t="n">
        <f aca="false">INDEX(C1_Gases!$K:$K,MATCH($A42,C1_Gases!$D:$D,0))</f>
        <v>4.736</v>
      </c>
      <c r="F42" s="13" t="n">
        <f aca="false">INDEX(C1_Gases!$L:$L,MATCH($A42,C1_Gases!$D:$D,0))</f>
        <v>0.001359</v>
      </c>
      <c r="G42" s="13" t="n">
        <f aca="false">INDEX(C1_Gases!$M:$M,MATCH($A42,C1_Gases!$D:$D,0))</f>
        <v>0</v>
      </c>
      <c r="H42" s="13" t="n">
        <f aca="false">INDEX(C1_Gases!$N:$N,MATCH($A42,C1_Gases!$D:$D,0))</f>
        <v>-72500</v>
      </c>
      <c r="I42" s="17" t="n">
        <f aca="false">INDEX(C1_Gases!$E:$E,MATCH($A42,C1_Gases!$D:$D,0))</f>
        <v>2500</v>
      </c>
      <c r="J42" s="12" t="n">
        <f aca="false">INDEX(C1_Gases!$F:$F,MATCH($A42,C1_Gases!$D:$D,0))</f>
        <v>4.326</v>
      </c>
      <c r="K42" s="6" t="s">
        <v>365</v>
      </c>
    </row>
    <row r="43" customFormat="false" ht="15" hidden="false" customHeight="false" outlineLevel="0" collapsed="false">
      <c r="A43" s="10" t="s">
        <v>222</v>
      </c>
      <c r="B43" s="6" t="s">
        <v>221</v>
      </c>
      <c r="C43" s="15" t="n">
        <v>0</v>
      </c>
      <c r="D43" s="15" t="n">
        <v>0</v>
      </c>
      <c r="E43" s="12" t="n">
        <f aca="false">INDEX(C1_Gases!$K:$K,MATCH($A43,C1_Gases!$D:$D,0))</f>
        <v>3.28</v>
      </c>
      <c r="F43" s="13" t="n">
        <f aca="false">INDEX(C1_Gases!$L:$L,MATCH($A43,C1_Gases!$D:$D,0))</f>
        <v>0.000593</v>
      </c>
      <c r="G43" s="13" t="n">
        <f aca="false">INDEX(C1_Gases!$M:$M,MATCH($A43,C1_Gases!$D:$D,0))</f>
        <v>0</v>
      </c>
      <c r="H43" s="13" t="n">
        <f aca="false">INDEX(C1_Gases!$N:$N,MATCH($A43,C1_Gases!$D:$D,0))</f>
        <v>4000</v>
      </c>
      <c r="I43" s="17" t="n">
        <f aca="false">INDEX(C1_Gases!$E:$E,MATCH($A43,C1_Gases!$D:$D,0))</f>
        <v>2000</v>
      </c>
      <c r="J43" s="12" t="n">
        <f aca="false">INDEX(C1_Gases!$F:$F,MATCH($A43,C1_Gases!$D:$D,0))</f>
        <v>3.502</v>
      </c>
      <c r="K43" s="6" t="s">
        <v>367</v>
      </c>
    </row>
    <row r="44" customFormat="false" ht="15" hidden="false" customHeight="false" outlineLevel="0" collapsed="false">
      <c r="A44" s="10" t="s">
        <v>225</v>
      </c>
      <c r="B44" s="6" t="s">
        <v>223</v>
      </c>
      <c r="C44" s="16" t="n">
        <f aca="false">INDEX(C4_Formacion!$G:$G,MATCH(A44&amp;"(g)",C4_Formacion!$F:$F,0))</f>
        <v>82050</v>
      </c>
      <c r="D44" s="16" t="n">
        <f aca="false">INDEX(C4_Formacion!$H:$H,MATCH(A44&amp;"(g)",C4_Formacion!$F:$F,0))</f>
        <v>104200</v>
      </c>
      <c r="E44" s="12" t="n">
        <f aca="false">INDEX(C1_Gases!$K:$K,MATCH($A44,C1_Gases!$D:$D,0))</f>
        <v>5.328</v>
      </c>
      <c r="F44" s="13" t="n">
        <f aca="false">INDEX(C1_Gases!$L:$L,MATCH($A44,C1_Gases!$D:$D,0))</f>
        <v>0.001214</v>
      </c>
      <c r="G44" s="13" t="n">
        <f aca="false">INDEX(C1_Gases!$M:$M,MATCH($A44,C1_Gases!$D:$D,0))</f>
        <v>0</v>
      </c>
      <c r="H44" s="13" t="n">
        <f aca="false">INDEX(C1_Gases!$N:$N,MATCH($A44,C1_Gases!$D:$D,0))</f>
        <v>-92800</v>
      </c>
      <c r="I44" s="17" t="n">
        <f aca="false">INDEX(C1_Gases!$E:$E,MATCH($A44,C1_Gases!$D:$D,0))</f>
        <v>2000</v>
      </c>
      <c r="J44" s="12" t="n">
        <f aca="false">INDEX(C1_Gases!$F:$F,MATCH($A44,C1_Gases!$D:$D,0))</f>
        <v>4.646</v>
      </c>
      <c r="K44" s="6" t="s">
        <v>365</v>
      </c>
    </row>
    <row r="45" customFormat="false" ht="15" hidden="false" customHeight="false" outlineLevel="0" collapsed="false">
      <c r="A45" s="10" t="s">
        <v>228</v>
      </c>
      <c r="B45" s="6" t="s">
        <v>226</v>
      </c>
      <c r="C45" s="16" t="n">
        <f aca="false">INDEX(C4_Formacion!$G:$G,MATCH(A45&amp;"(g)",C4_Formacion!$F:$F,0))</f>
        <v>90250</v>
      </c>
      <c r="D45" s="16" t="n">
        <f aca="false">INDEX(C4_Formacion!$H:$H,MATCH(A45&amp;"(g)",C4_Formacion!$F:$F,0))</f>
        <v>86550</v>
      </c>
      <c r="E45" s="12" t="n">
        <f aca="false">INDEX(C1_Gases!$K:$K,MATCH($A45,C1_Gases!$D:$D,0))</f>
        <v>3.387</v>
      </c>
      <c r="F45" s="13" t="n">
        <f aca="false">INDEX(C1_Gases!$L:$L,MATCH($A45,C1_Gases!$D:$D,0))</f>
        <v>0.000629</v>
      </c>
      <c r="G45" s="13" t="n">
        <f aca="false">INDEX(C1_Gases!$M:$M,MATCH($A45,C1_Gases!$D:$D,0))</f>
        <v>0</v>
      </c>
      <c r="H45" s="13" t="n">
        <f aca="false">INDEX(C1_Gases!$N:$N,MATCH($A45,C1_Gases!$D:$D,0))</f>
        <v>1400</v>
      </c>
      <c r="I45" s="17" t="n">
        <f aca="false">INDEX(C1_Gases!$E:$E,MATCH($A45,C1_Gases!$D:$D,0))</f>
        <v>2000</v>
      </c>
      <c r="J45" s="12" t="n">
        <f aca="false">INDEX(C1_Gases!$F:$F,MATCH($A45,C1_Gases!$D:$D,0))</f>
        <v>3.59</v>
      </c>
      <c r="K45" s="6" t="s">
        <v>365</v>
      </c>
    </row>
    <row r="46" customFormat="false" ht="15" hidden="false" customHeight="false" outlineLevel="0" collapsed="false">
      <c r="A46" s="10" t="s">
        <v>231</v>
      </c>
      <c r="B46" s="6" t="s">
        <v>229</v>
      </c>
      <c r="C46" s="16" t="n">
        <f aca="false">INDEX(C4_Formacion!$G:$G,MATCH(A46&amp;"(g)",C4_Formacion!$F:$F,0))</f>
        <v>33180</v>
      </c>
      <c r="D46" s="16" t="n">
        <f aca="false">INDEX(C4_Formacion!$H:$H,MATCH(A46&amp;"(g)",C4_Formacion!$F:$F,0))</f>
        <v>51310</v>
      </c>
      <c r="E46" s="12" t="n">
        <f aca="false">INDEX(C1_Gases!$K:$K,MATCH($A46,C1_Gases!$D:$D,0))</f>
        <v>4.982</v>
      </c>
      <c r="F46" s="13" t="n">
        <f aca="false">INDEX(C1_Gases!$L:$L,MATCH($A46,C1_Gases!$D:$D,0))</f>
        <v>0.001195</v>
      </c>
      <c r="G46" s="13" t="n">
        <f aca="false">INDEX(C1_Gases!$M:$M,MATCH($A46,C1_Gases!$D:$D,0))</f>
        <v>0</v>
      </c>
      <c r="H46" s="13" t="n">
        <f aca="false">INDEX(C1_Gases!$N:$N,MATCH($A46,C1_Gases!$D:$D,0))</f>
        <v>-79200</v>
      </c>
      <c r="I46" s="17" t="n">
        <f aca="false">INDEX(C1_Gases!$E:$E,MATCH($A46,C1_Gases!$D:$D,0))</f>
        <v>2000</v>
      </c>
      <c r="J46" s="12" t="n">
        <f aca="false">INDEX(C1_Gases!$F:$F,MATCH($A46,C1_Gases!$D:$D,0))</f>
        <v>4.447</v>
      </c>
      <c r="K46" s="6" t="s">
        <v>365</v>
      </c>
    </row>
    <row r="47" customFormat="false" ht="15" hidden="false" customHeight="false" outlineLevel="0" collapsed="false">
      <c r="A47" s="10" t="s">
        <v>234</v>
      </c>
      <c r="B47" s="6" t="s">
        <v>232</v>
      </c>
      <c r="C47" s="16" t="n">
        <f aca="false">INDEX(C4_Formacion!$G:$G,MATCH(A47&amp;"(g)",C4_Formacion!$F:$F,0))</f>
        <v>9160</v>
      </c>
      <c r="D47" s="16" t="n">
        <f aca="false">INDEX(C4_Formacion!$H:$H,MATCH(A47&amp;"(g)",C4_Formacion!$F:$F,0))</f>
        <v>97540</v>
      </c>
      <c r="E47" s="12" t="n">
        <f aca="false">INDEX(C1_Gases!$K:$K,MATCH($A47,C1_Gases!$D:$D,0))</f>
        <v>11.66</v>
      </c>
      <c r="F47" s="13" t="n">
        <f aca="false">INDEX(C1_Gases!$L:$L,MATCH($A47,C1_Gases!$D:$D,0))</f>
        <v>0.002257</v>
      </c>
      <c r="G47" s="13" t="n">
        <f aca="false">INDEX(C1_Gases!$M:$M,MATCH($A47,C1_Gases!$D:$D,0))</f>
        <v>0</v>
      </c>
      <c r="H47" s="13" t="n">
        <f aca="false">INDEX(C1_Gases!$N:$N,MATCH($A47,C1_Gases!$D:$D,0))</f>
        <v>-278700</v>
      </c>
      <c r="I47" s="17" t="n">
        <f aca="false">INDEX(C1_Gases!$E:$E,MATCH($A47,C1_Gases!$D:$D,0))</f>
        <v>2000</v>
      </c>
      <c r="J47" s="12" t="n">
        <f aca="false">INDEX(C1_Gases!$F:$F,MATCH($A47,C1_Gases!$D:$D,0))</f>
        <v>9.198</v>
      </c>
      <c r="K47" s="6" t="s">
        <v>365</v>
      </c>
    </row>
    <row r="48" customFormat="false" ht="15" hidden="false" customHeight="false" outlineLevel="0" collapsed="false">
      <c r="A48" s="10" t="s">
        <v>236</v>
      </c>
      <c r="B48" s="6" t="s">
        <v>235</v>
      </c>
      <c r="C48" s="15" t="n">
        <v>0</v>
      </c>
      <c r="D48" s="15" t="n">
        <v>0</v>
      </c>
      <c r="E48" s="12" t="n">
        <f aca="false">INDEX(C1_Gases!$K:$K,MATCH($A48,C1_Gases!$D:$D,0))</f>
        <v>3.639</v>
      </c>
      <c r="F48" s="13" t="n">
        <f aca="false">INDEX(C1_Gases!$L:$L,MATCH($A48,C1_Gases!$D:$D,0))</f>
        <v>0.000506</v>
      </c>
      <c r="G48" s="13" t="n">
        <f aca="false">INDEX(C1_Gases!$M:$M,MATCH($A48,C1_Gases!$D:$D,0))</f>
        <v>0</v>
      </c>
      <c r="H48" s="13" t="n">
        <f aca="false">INDEX(C1_Gases!$N:$N,MATCH($A48,C1_Gases!$D:$D,0))</f>
        <v>-22700</v>
      </c>
      <c r="I48" s="17" t="n">
        <f aca="false">INDEX(C1_Gases!$E:$E,MATCH($A48,C1_Gases!$D:$D,0))</f>
        <v>2000</v>
      </c>
      <c r="J48" s="12" t="n">
        <f aca="false">INDEX(C1_Gases!$F:$F,MATCH($A48,C1_Gases!$D:$D,0))</f>
        <v>3.535</v>
      </c>
      <c r="K48" s="6" t="s">
        <v>367</v>
      </c>
    </row>
    <row r="49" customFormat="false" ht="15" hidden="false" customHeight="false" outlineLevel="0" collapsed="false">
      <c r="A49" s="10" t="s">
        <v>238</v>
      </c>
      <c r="B49" s="6" t="s">
        <v>237</v>
      </c>
      <c r="C49" s="16" t="n">
        <f aca="false">INDEX(C4_Formacion!$G:$G,MATCH(A49&amp;"(g)",C4_Formacion!$F:$F,0))</f>
        <v>-296830</v>
      </c>
      <c r="D49" s="16" t="n">
        <f aca="false">INDEX(C4_Formacion!$H:$H,MATCH(A49&amp;"(g)",C4_Formacion!$F:$F,0))</f>
        <v>-300194</v>
      </c>
      <c r="E49" s="12" t="n">
        <f aca="false">INDEX(C1_Gases!$K:$K,MATCH($A49,C1_Gases!$D:$D,0))</f>
        <v>5.699</v>
      </c>
      <c r="F49" s="13" t="n">
        <f aca="false">INDEX(C1_Gases!$L:$L,MATCH($A49,C1_Gases!$D:$D,0))</f>
        <v>0.000801</v>
      </c>
      <c r="G49" s="13" t="n">
        <f aca="false">INDEX(C1_Gases!$M:$M,MATCH($A49,C1_Gases!$D:$D,0))</f>
        <v>0</v>
      </c>
      <c r="H49" s="13" t="n">
        <f aca="false">INDEX(C1_Gases!$N:$N,MATCH($A49,C1_Gases!$D:$D,0))</f>
        <v>-101500</v>
      </c>
      <c r="I49" s="17" t="n">
        <f aca="false">INDEX(C1_Gases!$E:$E,MATCH($A49,C1_Gases!$D:$D,0))</f>
        <v>2000</v>
      </c>
      <c r="J49" s="12" t="n">
        <f aca="false">INDEX(C1_Gases!$F:$F,MATCH($A49,C1_Gases!$D:$D,0))</f>
        <v>4.796</v>
      </c>
      <c r="K49" s="6" t="s">
        <v>365</v>
      </c>
    </row>
    <row r="50" customFormat="false" ht="15" hidden="false" customHeight="false" outlineLevel="0" collapsed="false">
      <c r="A50" s="10" t="s">
        <v>240</v>
      </c>
      <c r="B50" s="6" t="s">
        <v>239</v>
      </c>
      <c r="C50" s="16" t="n">
        <f aca="false">INDEX(C4_Formacion!$G:$G,MATCH(A50&amp;"(g)",C4_Formacion!$F:$F,0))</f>
        <v>-395720</v>
      </c>
      <c r="D50" s="16" t="n">
        <f aca="false">INDEX(C4_Formacion!$H:$H,MATCH(A50&amp;"(g)",C4_Formacion!$F:$F,0))</f>
        <v>-371060</v>
      </c>
      <c r="E50" s="12" t="n">
        <f aca="false">INDEX(C1_Gases!$K:$K,MATCH($A50,C1_Gases!$D:$D,0))</f>
        <v>8.06</v>
      </c>
      <c r="F50" s="13" t="n">
        <f aca="false">INDEX(C1_Gases!$L:$L,MATCH($A50,C1_Gases!$D:$D,0))</f>
        <v>0.001056</v>
      </c>
      <c r="G50" s="13" t="n">
        <f aca="false">INDEX(C1_Gases!$M:$M,MATCH($A50,C1_Gases!$D:$D,0))</f>
        <v>0</v>
      </c>
      <c r="H50" s="13" t="n">
        <f aca="false">INDEX(C1_Gases!$N:$N,MATCH($A50,C1_Gases!$D:$D,0))</f>
        <v>-202800</v>
      </c>
      <c r="I50" s="17" t="n">
        <f aca="false">INDEX(C1_Gases!$E:$E,MATCH($A50,C1_Gases!$D:$D,0))</f>
        <v>2000</v>
      </c>
      <c r="J50" s="12" t="n">
        <f aca="false">INDEX(C1_Gases!$F:$F,MATCH($A50,C1_Gases!$D:$D,0))</f>
        <v>6.094</v>
      </c>
      <c r="K50" s="6" t="s">
        <v>365</v>
      </c>
    </row>
    <row r="51" customFormat="false" ht="15" hidden="false" customHeight="false" outlineLevel="0" collapsed="false">
      <c r="A51" s="10" t="s">
        <v>242</v>
      </c>
      <c r="B51" s="6" t="s">
        <v>241</v>
      </c>
      <c r="C51" s="16" t="n">
        <f aca="false">INDEX(C4_Formacion!$G:$G,MATCH(A51&amp;"(g)",C4_Formacion!$F:$F,0))</f>
        <v>-241818</v>
      </c>
      <c r="D51" s="16" t="n">
        <f aca="false">INDEX(C4_Formacion!$H:$H,MATCH(A51&amp;"(g)",C4_Formacion!$F:$F,0))</f>
        <v>-228572</v>
      </c>
      <c r="E51" s="12" t="n">
        <f aca="false">INDEX(C1_Gases!$K:$K,MATCH($A51,C1_Gases!$D:$D,0))</f>
        <v>3.47</v>
      </c>
      <c r="F51" s="13" t="n">
        <f aca="false">INDEX(C1_Gases!$L:$L,MATCH($A51,C1_Gases!$D:$D,0))</f>
        <v>0.00145</v>
      </c>
      <c r="G51" s="13" t="n">
        <f aca="false">INDEX(C1_Gases!$M:$M,MATCH($A51,C1_Gases!$D:$D,0))</f>
        <v>0</v>
      </c>
      <c r="H51" s="13" t="n">
        <f aca="false">INDEX(C1_Gases!$N:$N,MATCH($A51,C1_Gases!$D:$D,0))</f>
        <v>12100</v>
      </c>
      <c r="I51" s="17" t="n">
        <f aca="false">INDEX(C1_Gases!$E:$E,MATCH($A51,C1_Gases!$D:$D,0))</f>
        <v>2000</v>
      </c>
      <c r="J51" s="12" t="n">
        <f aca="false">INDEX(C1_Gases!$F:$F,MATCH($A51,C1_Gases!$D:$D,0))</f>
        <v>4.038</v>
      </c>
      <c r="K51" s="6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</cols>
  <sheetData>
    <row r="1" customFormat="false" ht="17.3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4" t="s">
        <v>369</v>
      </c>
    </row>
    <row r="4" customFormat="false" ht="15" hidden="false" customHeight="false" outlineLevel="0" collapsed="false">
      <c r="A4" s="2" t="s">
        <v>370</v>
      </c>
      <c r="B4" s="20" t="s">
        <v>136</v>
      </c>
    </row>
    <row r="6" customFormat="false" ht="15" hidden="false" customHeight="false" outlineLevel="0" collapsed="false">
      <c r="A6" s="21" t="s">
        <v>121</v>
      </c>
      <c r="B6" s="14" t="str">
        <f aca="false">IFERROR(INDEX(BD_Gases!$B:$B,MATCH($B$4,BD_Gases!$A:$A,0)),"no está")</f>
        <v>Metano</v>
      </c>
    </row>
    <row r="7" customFormat="false" ht="15" hidden="false" customHeight="false" outlineLevel="0" collapsed="false">
      <c r="A7" s="21" t="s">
        <v>326</v>
      </c>
      <c r="B7" s="16" t="n">
        <f aca="false">IFERROR(INDEX(BD_Gases!$C:$C,MATCH($B$4,BD_Gases!$A:$A,0)),"no está")</f>
        <v>-74520</v>
      </c>
    </row>
    <row r="8" customFormat="false" ht="15" hidden="false" customHeight="false" outlineLevel="0" collapsed="false">
      <c r="A8" s="21" t="s">
        <v>327</v>
      </c>
      <c r="B8" s="16" t="n">
        <f aca="false">IFERROR(INDEX(BD_Gases!$D:$D,MATCH($B$4,BD_Gases!$A:$A,0)),"no está")</f>
        <v>-50460</v>
      </c>
    </row>
    <row r="9" customFormat="false" ht="15" hidden="false" customHeight="false" outlineLevel="0" collapsed="false">
      <c r="A9" s="21" t="s">
        <v>126</v>
      </c>
      <c r="B9" s="12" t="n">
        <f aca="false">IFERROR(INDEX(BD_Gases!$E:$E,MATCH($B$4,BD_Gases!$A:$A,0)),"no está")</f>
        <v>1.702</v>
      </c>
    </row>
    <row r="10" customFormat="false" ht="15" hidden="false" customHeight="false" outlineLevel="0" collapsed="false">
      <c r="A10" s="21" t="s">
        <v>362</v>
      </c>
      <c r="B10" s="13" t="n">
        <f aca="false">IFERROR(INDEX(BD_Gases!$F:$F,MATCH($B$4,BD_Gases!$A:$A,0)),"no está")</f>
        <v>0.009081</v>
      </c>
    </row>
    <row r="11" customFormat="false" ht="15" hidden="false" customHeight="false" outlineLevel="0" collapsed="false">
      <c r="A11" s="21" t="s">
        <v>263</v>
      </c>
      <c r="B11" s="13" t="n">
        <f aca="false">IFERROR(INDEX(BD_Gases!$G:$G,MATCH($B$4,BD_Gases!$A:$A,0)),"no está")</f>
        <v>-2.164E-006</v>
      </c>
    </row>
    <row r="12" customFormat="false" ht="15" hidden="false" customHeight="false" outlineLevel="0" collapsed="false">
      <c r="A12" s="21" t="s">
        <v>363</v>
      </c>
      <c r="B12" s="13" t="n">
        <f aca="false">IFERROR(INDEX(BD_Gases!$H:$H,MATCH($B$4,BD_Gases!$A:$A,0)),"no está")</f>
        <v>0</v>
      </c>
    </row>
    <row r="13" customFormat="false" ht="15" hidden="false" customHeight="false" outlineLevel="0" collapsed="false">
      <c r="A13" s="21" t="s">
        <v>124</v>
      </c>
      <c r="B13" s="17" t="n">
        <f aca="false">IFERROR(INDEX(BD_Gases!$I:$I,MATCH($B$4,BD_Gases!$A:$A,0)),"no está")</f>
        <v>1500</v>
      </c>
    </row>
    <row r="14" customFormat="false" ht="15" hidden="false" customHeight="false" outlineLevel="0" collapsed="false">
      <c r="A14" s="21" t="s">
        <v>125</v>
      </c>
      <c r="B14" s="12" t="n">
        <f aca="false">IFERROR(INDEX(BD_Gases!$J:$J,MATCH($B$4,BD_Gases!$A:$A,0)),"no está")</f>
        <v>4.217</v>
      </c>
    </row>
    <row r="16" customFormat="false" ht="15" hidden="false" customHeight="false" outlineLevel="0" collapsed="false">
      <c r="A16" s="2" t="s">
        <v>371</v>
      </c>
      <c r="B16" s="22" t="n">
        <v>800</v>
      </c>
    </row>
    <row r="17" customFormat="false" ht="15" hidden="false" customHeight="false" outlineLevel="0" collapsed="false">
      <c r="A17" s="21" t="s">
        <v>372</v>
      </c>
      <c r="B17" s="12" t="n">
        <f aca="false">B9+B10*B16+B11*B16^2+B12/B16^2</f>
        <v>7.58184</v>
      </c>
    </row>
    <row r="18" customFormat="false" ht="15" hidden="false" customHeight="false" outlineLevel="0" collapsed="false">
      <c r="A18" s="21" t="s">
        <v>373</v>
      </c>
      <c r="B18" s="23" t="n">
        <f aca="false">8.314*B17</f>
        <v>63.03541776</v>
      </c>
    </row>
    <row r="19" customFormat="false" ht="15" hidden="false" customHeight="false" outlineLevel="0" collapsed="false">
      <c r="A19" s="21" t="s">
        <v>374</v>
      </c>
      <c r="B19" s="14" t="str">
        <f aca="false">IF(B16&gt;B13,"T &gt; Tmáx: fuera del rango de la correlación","OK")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2026-09-22T16:37:13Z</dcterms:created>
  <dc:creator>openpyxl</dc:creator>
  <dc:description/>
  <dc:language>en-US</dc:language>
  <cp:lastModifiedBy/>
  <dcterms:modified xsi:type="dcterms:W3CDTF">2026-09-22T16:37:13Z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