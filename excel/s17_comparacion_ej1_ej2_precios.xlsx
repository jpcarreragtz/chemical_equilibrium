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Trading Economics, 6-oct-2026: 3.07 USD/MMBtu. (FRED, spot Henry Hub 29-sep-2026: 3.18.) El gas se vende por energía en base HHV; se convierte a USD/kg con el HHV del metano.</t>
        </r>
      </text>
    </comment>
    <comment ref="C20" authorId="0">
      <text>
        <r>
          <rPr>
            <sz val="10"/>
            <rFont val="Arial"/>
            <family val="2"/>
          </rPr>
          <t xml:space="preserve">AEGIS Hedging, reporte del 4-sep-2026: promedio de agosto 2026 ≈ 0.24 USD/gal. Densidad del etano líquido ≈ 2.97 lb/gal = 1.347 kg/gal (valor estándar de la industria, aproximado).</t>
        </r>
      </text>
    </comment>
    <comment ref="C21" authorId="0">
      <text>
        <r>
          <rPr>
            <sz val="10"/>
            <rFont val="Arial"/>
            <family val="2"/>
          </rPr>
          <t xml:space="preserve">Trading Economics, 5-oct-2026: 0.93 USD/gal. (FRED, spot Mont Belvieu 29-sep-2026: 0.894.) Densidad del propano líquido ≈ 4.23 lb/gal = 1.917 kg/gal (aproximado).</t>
        </r>
      </text>
    </comment>
    <comment ref="C22" authorId="0">
      <text>
        <r>
          <rPr>
            <sz val="10"/>
            <rFont val="Arial"/>
            <family val="2"/>
          </rPr>
          <t xml:space="preserve">SUPUESTO: punto medio del rango típico de 1–2 USD/kg para hidrógeno gris (Blue Gas Express, feb-2026). No es una cotización; en Europa el índice de sep-2026 fue 3.68 USD/kg (BusinessAnalytiq).</t>
        </r>
      </text>
    </comment>
    <comment ref="C23" authorId="0">
      <text>
        <r>
          <rPr>
            <sz val="10"/>
            <rFont val="Arial"/>
            <family val="2"/>
          </rPr>
          <t xml:space="preserve">SUPUESTO: el N₂ viene mezclado con el gas y no se paga aparte.</t>
        </r>
      </text>
    </comment>
    <comment ref="D6" authorId="0">
      <text>
        <r>
          <rPr>
            <sz val="10"/>
            <rFont val="Arial"/>
            <family val="2"/>
          </rPr>
          <t xml:space="preserve">Smith–Van Ness 7a ed., Tabla C.4 (Tablas SVA). Masas molares de la Tabla B.1.</t>
        </r>
      </text>
    </comment>
  </commentList>
</comments>
</file>

<file path=xl/sharedStrings.xml><?xml version="1.0" encoding="utf-8"?>
<sst xmlns="http://schemas.openxmlformats.org/spreadsheetml/2006/main" count="80" uniqueCount="73">
  <si>
    <t xml:space="preserve">Sesión 17 · Comparación económica de los combustibles del Ejercicio 1 y del Ejercicio 2</t>
  </si>
  <si>
    <t xml:space="preserve">Precio de mercado por componente → costo de cada mezcla por kmol, por kg y por unidad de energía (LHV).</t>
  </si>
  <si>
    <t xml:space="preserve">Formato: relleno amarillo = entradas y encabezados · fuente azul oscuro = constantes de tablas (Smith–Van Ness) · negro = fórmulas.</t>
  </si>
  <si>
    <t xml:space="preserve">1. Propiedades por componente (ΔH°c por ley de Hess con ΔH°f298)</t>
  </si>
  <si>
    <t xml:space="preserve">Componente</t>
  </si>
  <si>
    <t xml:space="preserve">Fórmula</t>
  </si>
  <si>
    <t xml:space="preserve">M (g/mol)</t>
  </si>
  <si>
    <t xml:space="preserve">ΔH°f298 (J/mol)</t>
  </si>
  <si>
    <t xml:space="preserve">ν CO₂</t>
  </si>
  <si>
    <t xml:space="preserve">ν H₂O</t>
  </si>
  <si>
    <t xml:space="preserve">HHV (kJ/mol)</t>
  </si>
  <si>
    <t xml:space="preserve">LHV (kJ/mol)</t>
  </si>
  <si>
    <t xml:space="preserve">Metano</t>
  </si>
  <si>
    <t xml:space="preserve">CH₄</t>
  </si>
  <si>
    <t xml:space="preserve">Etano</t>
  </si>
  <si>
    <t xml:space="preserve">C₂H₆</t>
  </si>
  <si>
    <t xml:space="preserve">Propano</t>
  </si>
  <si>
    <t xml:space="preserve">C₃H₈</t>
  </si>
  <si>
    <t xml:space="preserve">Hidrógeno</t>
  </si>
  <si>
    <t xml:space="preserve">H₂</t>
  </si>
  <si>
    <t xml:space="preserve">Nitrógeno</t>
  </si>
  <si>
    <t xml:space="preserve">N₂</t>
  </si>
  <si>
    <t xml:space="preserve">ΔH°f298 CO₂(g) (J/mol)</t>
  </si>
  <si>
    <t xml:space="preserve">ΔH°f298 H₂O(g) (J/mol)</t>
  </si>
  <si>
    <t xml:space="preserve">ΔH°f298 H₂O(l) (J/mol)</t>
  </si>
  <si>
    <t xml:space="preserve">2. Precios de mercado por componente (entradas en amarillo; cámbialas para actualizar todo)</t>
  </si>
  <si>
    <t xml:space="preserve">Referencia de mercado</t>
  </si>
  <si>
    <t xml:space="preserve">Precio cotizado</t>
  </si>
  <si>
    <t xml:space="preserve">Unidad</t>
  </si>
  <si>
    <t xml:space="preserve">Factor de conversión</t>
  </si>
  <si>
    <t xml:space="preserve">Unidad del factor</t>
  </si>
  <si>
    <t xml:space="preserve">Precio (USD/kg)</t>
  </si>
  <si>
    <t xml:space="preserve">Precio (USD/kmol)</t>
  </si>
  <si>
    <t xml:space="preserve">Precio por energía (USD/GJ, LHV)</t>
  </si>
  <si>
    <t xml:space="preserve">Gas natural, Henry Hub</t>
  </si>
  <si>
    <t xml:space="preserve">USD/MMBtu (HHV)</t>
  </si>
  <si>
    <t xml:space="preserve">MJ/MMBtu</t>
  </si>
  <si>
    <t xml:space="preserve">Etano, Mont Belvieu</t>
  </si>
  <si>
    <t xml:space="preserve">USD/gal</t>
  </si>
  <si>
    <t xml:space="preserve">kg/gal (líquido)</t>
  </si>
  <si>
    <t xml:space="preserve">Propano, Mont Belvieu</t>
  </si>
  <si>
    <t xml:space="preserve">Hidrógeno gris (reformado de gas)</t>
  </si>
  <si>
    <t xml:space="preserve">USD/kg</t>
  </si>
  <si>
    <t xml:space="preserve">—</t>
  </si>
  <si>
    <t xml:space="preserve">Inerte, sin valor combustible</t>
  </si>
  <si>
    <t xml:space="preserve">3. Costo de cada mezcla (base: 1 kmol de mezcla)</t>
  </si>
  <si>
    <t xml:space="preserve">yᵢ  Ej. 1</t>
  </si>
  <si>
    <t xml:space="preserve">yᵢ  Ej. 2</t>
  </si>
  <si>
    <t xml:space="preserve">yᵢ·Mᵢ  Ej. 1 (g/mol)</t>
  </si>
  <si>
    <t xml:space="preserve">yᵢ·Mᵢ  Ej. 2 (g/mol)</t>
  </si>
  <si>
    <t xml:space="preserve">yᵢ·LHVᵢ  Ej. 1 (kJ/mol)</t>
  </si>
  <si>
    <t xml:space="preserve">yᵢ·LHVᵢ  Ej. 2 (kJ/mol)</t>
  </si>
  <si>
    <t xml:space="preserve">yᵢ·Precioᵢ  Ej. 1 (USD/kmol)</t>
  </si>
  <si>
    <t xml:space="preserve">yᵢ·Precioᵢ  Ej. 2 (USD/kmol)</t>
  </si>
  <si>
    <t xml:space="preserve">Total (mezcla)</t>
  </si>
  <si>
    <t xml:space="preserve">4. Comparación</t>
  </si>
  <si>
    <t xml:space="preserve">Concepto</t>
  </si>
  <si>
    <t xml:space="preserve">Ej. 1 (CH₄/C₂H₆/H₂/N₂)</t>
  </si>
  <si>
    <t xml:space="preserve">Ej. 2 (gas natural)</t>
  </si>
  <si>
    <t xml:space="preserve">Diferencia Ej. 2 vs Ej. 1</t>
  </si>
  <si>
    <t xml:space="preserve">Masa molar (g/mol)</t>
  </si>
  <si>
    <t xml:space="preserve">LHV (MJ/kg)</t>
  </si>
  <si>
    <t xml:space="preserve">Costo (USD/kmol de mezcla)</t>
  </si>
  <si>
    <t xml:space="preserve">Costo (USD/kg de mezcla)</t>
  </si>
  <si>
    <t xml:space="preserve">Costo por energía (USD/GJ, LHV)</t>
  </si>
  <si>
    <t xml:space="preserve">Costo por energía (USD/MMBtu, LHV)</t>
  </si>
  <si>
    <t xml:space="preserve">Energía por dólar (MJ/USD)</t>
  </si>
  <si>
    <t xml:space="preserve">Notas y supuestos:</t>
  </si>
  <si>
    <t xml:space="preserve">• Precios en USD, referencias de EE. UU. (Henry Hub y Mont Belvieu); fuente y fecha de cada uno en el comentario de su celda. Las fechas no coinciden entre sí (agosto a octubre de 2026).</t>
  </si>
  <si>
    <t xml:space="preserve">• El precio del H₂ es un supuesto (1.50 USD/kg), no una cotización; es la entrada que más mueve el resultado del Ej. 1.</t>
  </si>
  <si>
    <t xml:space="preserve">• En la práctica un gas combustible se compra como mezcla y por energía (USD/MMBtu, base HHV), no componente por componente; este cálculo es una valoración aproximada.</t>
  </si>
  <si>
    <t xml:space="preserve">• USD/kg × g/mol = USD/kmol.  USD/kmol ÷ (kJ/mol) × 1000 = USD/GJ.  1 MMBtu = 1,055.056 MJ.</t>
  </si>
  <si>
    <t xml:space="preserve">• No incluye transporte, distribución ni impuestos; para precios en México habría que usar el IPGN de la CRE y el tipo de cambio.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</si>
</sst>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#,##0"/>
    <numFmt numFmtId="167" formatCode="0"/>
    <numFmt numFmtId="168" formatCode="#,##0.000"/>
    <numFmt numFmtId="169" formatCode="0.00"/>
    <numFmt numFmtId="170" formatCode="0.0000"/>
    <numFmt numFmtId="171" formatCode="\+0.0%;\-0.0%;0.0%"/>
    <numFmt numFmtId="172" formatCode="#,##0.00"/>
    <numFmt numFmtId="173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sz val="10"/>
      <color rgb="FF595959"/>
      <name val="Aptos Narrow"/>
      <family val="0"/>
      <charset val="1"/>
    </font>
    <font>
      <b val="true"/>
      <sz val="12"/>
      <color rgb="FF1F386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1F3864"/>
      <name val="Aptos Narrow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5.7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n">
        <v>16.043</v>
      </c>
      <c r="D7" s="8" t="n">
        <v>-74520</v>
      </c>
      <c r="E7" s="9" t="n">
        <v>1</v>
      </c>
      <c r="F7" s="9" t="n">
        <v>2</v>
      </c>
      <c r="G7" s="10" t="n">
        <f aca="false">-(E7*$D$13+F7*$D$15-D7)/1000</f>
        <v>890.649</v>
      </c>
      <c r="H7" s="10" t="n">
        <f aca="false">-(E7*$D$13+F7*$D$14-D7)/1000</f>
        <v>802.625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n">
        <v>30.07</v>
      </c>
      <c r="D8" s="8" t="n">
        <v>-83820</v>
      </c>
      <c r="E8" s="9" t="n">
        <v>2</v>
      </c>
      <c r="F8" s="9" t="n">
        <v>3</v>
      </c>
      <c r="G8" s="10" t="n">
        <f aca="false">-(E8*$D$13+F8*$D$15-D8)/1000</f>
        <v>1560.688</v>
      </c>
      <c r="H8" s="10" t="n">
        <f aca="false">-(E8*$D$13+F8*$D$14-D8)/1000</f>
        <v>1428.652</v>
      </c>
    </row>
    <row r="9" customFormat="false" ht="15" hidden="false" customHeight="false" outlineLevel="0" collapsed="false">
      <c r="A9" s="5" t="s">
        <v>16</v>
      </c>
      <c r="B9" s="6" t="s">
        <v>17</v>
      </c>
      <c r="C9" s="7" t="n">
        <v>44.097</v>
      </c>
      <c r="D9" s="8" t="n">
        <v>-104680</v>
      </c>
      <c r="E9" s="9" t="n">
        <v>3</v>
      </c>
      <c r="F9" s="9" t="n">
        <v>4</v>
      </c>
      <c r="G9" s="10" t="n">
        <f aca="false">-(E9*$D$13+F9*$D$15-D9)/1000</f>
        <v>2219.167</v>
      </c>
      <c r="H9" s="10" t="n">
        <f aca="false">-(E9*$D$13+F9*$D$14-D9)/1000</f>
        <v>2043.119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7" t="n">
        <v>2.016</v>
      </c>
      <c r="D10" s="8" t="n">
        <v>0</v>
      </c>
      <c r="E10" s="9" t="n">
        <v>0</v>
      </c>
      <c r="F10" s="9" t="n">
        <v>1</v>
      </c>
      <c r="G10" s="10" t="n">
        <f aca="false">-(E10*$D$13+F10*$D$15-D10)/1000</f>
        <v>285.83</v>
      </c>
      <c r="H10" s="10" t="n">
        <f aca="false">-(E10*$D$13+F10*$D$14-D10)/1000</f>
        <v>241.818</v>
      </c>
    </row>
    <row r="11" customFormat="false" ht="15" hidden="false" customHeight="false" outlineLevel="0" collapsed="false">
      <c r="A11" s="5" t="s">
        <v>20</v>
      </c>
      <c r="B11" s="6" t="s">
        <v>21</v>
      </c>
      <c r="C11" s="7" t="n">
        <v>28.014</v>
      </c>
      <c r="D11" s="8" t="n">
        <v>0</v>
      </c>
      <c r="E11" s="9" t="n">
        <v>0</v>
      </c>
      <c r="F11" s="9" t="n">
        <v>0</v>
      </c>
      <c r="G11" s="10" t="n">
        <f aca="false">-(E11*$D$13+F11*$D$15-D11)/1000</f>
        <v>0</v>
      </c>
      <c r="H11" s="10" t="n">
        <f aca="false">-(E11*$D$13+F11*$D$14-D11)/1000</f>
        <v>0</v>
      </c>
    </row>
    <row r="13" customFormat="false" ht="15" hidden="false" customHeight="true" outlineLevel="0" collapsed="false">
      <c r="A13" s="5" t="s">
        <v>22</v>
      </c>
      <c r="B13" s="5"/>
      <c r="C13" s="5"/>
      <c r="D13" s="8" t="n">
        <v>-393509</v>
      </c>
    </row>
    <row r="14" customFormat="false" ht="15" hidden="false" customHeight="true" outlineLevel="0" collapsed="false">
      <c r="A14" s="5" t="s">
        <v>23</v>
      </c>
      <c r="B14" s="5"/>
      <c r="C14" s="5"/>
      <c r="D14" s="8" t="n">
        <v>-241818</v>
      </c>
    </row>
    <row r="15" customFormat="false" ht="15" hidden="false" customHeight="true" outlineLevel="0" collapsed="false">
      <c r="A15" s="5" t="s">
        <v>24</v>
      </c>
      <c r="B15" s="5"/>
      <c r="C15" s="5"/>
      <c r="D15" s="8" t="n">
        <v>-285830</v>
      </c>
    </row>
    <row r="17" customFormat="false" ht="15" hidden="false" customHeight="false" outlineLevel="0" collapsed="false">
      <c r="A17" s="3" t="s">
        <v>25</v>
      </c>
    </row>
    <row r="18" customFormat="false" ht="45.75" hidden="false" customHeight="true" outlineLevel="0" collapsed="false">
      <c r="A18" s="4" t="s">
        <v>4</v>
      </c>
      <c r="B18" s="4" t="s">
        <v>26</v>
      </c>
      <c r="C18" s="4" t="s">
        <v>27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32</v>
      </c>
      <c r="I18" s="4" t="s">
        <v>33</v>
      </c>
    </row>
    <row r="19" customFormat="false" ht="29.85" hidden="false" customHeight="false" outlineLevel="0" collapsed="false">
      <c r="A19" s="6" t="str">
        <f aca="false">B7</f>
        <v>CH₄</v>
      </c>
      <c r="B19" s="5" t="s">
        <v>34</v>
      </c>
      <c r="C19" s="11" t="n">
        <v>3.07</v>
      </c>
      <c r="D19" s="12" t="s">
        <v>35</v>
      </c>
      <c r="E19" s="13" t="n">
        <v>1055.056</v>
      </c>
      <c r="F19" s="12" t="s">
        <v>36</v>
      </c>
      <c r="G19" s="14" t="n">
        <f aca="false">C19/E19*G7/C7</f>
        <v>0.161541408407225</v>
      </c>
      <c r="H19" s="15" t="n">
        <f aca="false">G19*C7</f>
        <v>2.59160881507711</v>
      </c>
      <c r="I19" s="16" t="n">
        <f aca="false">IF(H7=0,"—",H19/H7*1000)</f>
        <v>3.22891613776934</v>
      </c>
    </row>
    <row r="20" customFormat="false" ht="15" hidden="false" customHeight="false" outlineLevel="0" collapsed="false">
      <c r="A20" s="6" t="str">
        <f aca="false">B8</f>
        <v>C₂H₆</v>
      </c>
      <c r="B20" s="5" t="s">
        <v>37</v>
      </c>
      <c r="C20" s="11" t="n">
        <v>0.24</v>
      </c>
      <c r="D20" s="12" t="s">
        <v>38</v>
      </c>
      <c r="E20" s="13" t="n">
        <v>1.347</v>
      </c>
      <c r="F20" s="12" t="s">
        <v>39</v>
      </c>
      <c r="G20" s="14" t="n">
        <f aca="false">C20/E20</f>
        <v>0.178173719376392</v>
      </c>
      <c r="H20" s="15" t="n">
        <f aca="false">G20*C8</f>
        <v>5.35768374164811</v>
      </c>
      <c r="I20" s="16" t="n">
        <f aca="false">IF(H8=0,"—",H20/H8*1000)</f>
        <v>3.75016710972869</v>
      </c>
    </row>
    <row r="21" customFormat="false" ht="15" hidden="false" customHeight="false" outlineLevel="0" collapsed="false">
      <c r="A21" s="6" t="str">
        <f aca="false">B9</f>
        <v>C₃H₈</v>
      </c>
      <c r="B21" s="5" t="s">
        <v>40</v>
      </c>
      <c r="C21" s="11" t="n">
        <v>0.93</v>
      </c>
      <c r="D21" s="12" t="s">
        <v>38</v>
      </c>
      <c r="E21" s="13" t="n">
        <v>1.917</v>
      </c>
      <c r="F21" s="12" t="s">
        <v>39</v>
      </c>
      <c r="G21" s="14" t="n">
        <f aca="false">C21/E21</f>
        <v>0.485133020344288</v>
      </c>
      <c r="H21" s="15" t="n">
        <f aca="false">G21*C9</f>
        <v>21.3929107981221</v>
      </c>
      <c r="I21" s="16" t="n">
        <f aca="false">IF(H9=0,"—",H21/H9*1000)</f>
        <v>10.4707120819307</v>
      </c>
    </row>
    <row r="22" customFormat="false" ht="29.85" hidden="false" customHeight="false" outlineLevel="0" collapsed="false">
      <c r="A22" s="6" t="str">
        <f aca="false">B10</f>
        <v>H₂</v>
      </c>
      <c r="B22" s="5" t="s">
        <v>41</v>
      </c>
      <c r="C22" s="11" t="n">
        <v>1.5</v>
      </c>
      <c r="D22" s="12" t="s">
        <v>42</v>
      </c>
      <c r="E22" s="9" t="n">
        <v>1</v>
      </c>
      <c r="F22" s="12" t="s">
        <v>43</v>
      </c>
      <c r="G22" s="14" t="n">
        <f aca="false">C22/E22</f>
        <v>1.5</v>
      </c>
      <c r="H22" s="15" t="n">
        <f aca="false">G22*C10</f>
        <v>3.024</v>
      </c>
      <c r="I22" s="16" t="n">
        <f aca="false">IF(H10=0,"—",H22/H10*1000)</f>
        <v>12.5052725603553</v>
      </c>
    </row>
    <row r="23" customFormat="false" ht="29.85" hidden="false" customHeight="false" outlineLevel="0" collapsed="false">
      <c r="A23" s="6" t="str">
        <f aca="false">B11</f>
        <v>N₂</v>
      </c>
      <c r="B23" s="5" t="s">
        <v>44</v>
      </c>
      <c r="C23" s="11" t="n">
        <v>0</v>
      </c>
      <c r="D23" s="12" t="s">
        <v>42</v>
      </c>
      <c r="E23" s="9" t="n">
        <v>1</v>
      </c>
      <c r="F23" s="12" t="s">
        <v>43</v>
      </c>
      <c r="G23" s="14" t="n">
        <f aca="false">C23/E23</f>
        <v>0</v>
      </c>
      <c r="H23" s="15" t="n">
        <f aca="false">G23*C11</f>
        <v>0</v>
      </c>
      <c r="I23" s="16" t="str">
        <f aca="false">IF(H11=0,"—",H23/H11*1000)</f>
        <v>—</v>
      </c>
    </row>
    <row r="25" customFormat="false" ht="15" hidden="false" customHeight="false" outlineLevel="0" collapsed="false">
      <c r="A25" s="3" t="s">
        <v>45</v>
      </c>
    </row>
    <row r="26" customFormat="false" ht="45.75" hidden="false" customHeight="true" outlineLevel="0" collapsed="false">
      <c r="A26" s="4" t="s">
        <v>4</v>
      </c>
      <c r="B26" s="4" t="s">
        <v>46</v>
      </c>
      <c r="C26" s="4" t="s">
        <v>47</v>
      </c>
      <c r="D26" s="4" t="s">
        <v>48</v>
      </c>
      <c r="E26" s="4" t="s">
        <v>49</v>
      </c>
      <c r="F26" s="4" t="s">
        <v>50</v>
      </c>
      <c r="G26" s="4" t="s">
        <v>51</v>
      </c>
      <c r="H26" s="4" t="s">
        <v>52</v>
      </c>
      <c r="I26" s="4" t="s">
        <v>53</v>
      </c>
    </row>
    <row r="27" customFormat="false" ht="15" hidden="false" customHeight="false" outlineLevel="0" collapsed="false">
      <c r="A27" s="6" t="str">
        <f aca="false">B7</f>
        <v>CH₄</v>
      </c>
      <c r="B27" s="13" t="n">
        <v>0.75</v>
      </c>
      <c r="C27" s="13" t="n">
        <v>0.875</v>
      </c>
      <c r="D27" s="15" t="n">
        <f aca="false">B27*C7</f>
        <v>12.03225</v>
      </c>
      <c r="E27" s="15" t="n">
        <f aca="false">C27*C7</f>
        <v>14.037625</v>
      </c>
      <c r="F27" s="10" t="n">
        <f aca="false">B27*H7</f>
        <v>601.96875</v>
      </c>
      <c r="G27" s="10" t="n">
        <f aca="false">C27*H7</f>
        <v>702.296875</v>
      </c>
      <c r="H27" s="14" t="n">
        <f aca="false">B27*H19</f>
        <v>1.94370661130784</v>
      </c>
      <c r="I27" s="14" t="n">
        <f aca="false">C27*H19</f>
        <v>2.26765771319247</v>
      </c>
    </row>
    <row r="28" customFormat="false" ht="15" hidden="false" customHeight="false" outlineLevel="0" collapsed="false">
      <c r="A28" s="6" t="str">
        <f aca="false">B8</f>
        <v>C₂H₆</v>
      </c>
      <c r="B28" s="13" t="n">
        <v>0.1</v>
      </c>
      <c r="C28" s="13" t="n">
        <v>0.07</v>
      </c>
      <c r="D28" s="15" t="n">
        <f aca="false">B28*C8</f>
        <v>3.007</v>
      </c>
      <c r="E28" s="15" t="n">
        <f aca="false">C28*C8</f>
        <v>2.1049</v>
      </c>
      <c r="F28" s="10" t="n">
        <f aca="false">B28*H8</f>
        <v>142.8652</v>
      </c>
      <c r="G28" s="10" t="n">
        <f aca="false">C28*H8</f>
        <v>100.00564</v>
      </c>
      <c r="H28" s="14" t="n">
        <f aca="false">B28*H20</f>
        <v>0.535768374164811</v>
      </c>
      <c r="I28" s="14" t="n">
        <f aca="false">C28*H20</f>
        <v>0.375037861915368</v>
      </c>
    </row>
    <row r="29" customFormat="false" ht="15" hidden="false" customHeight="false" outlineLevel="0" collapsed="false">
      <c r="A29" s="6" t="str">
        <f aca="false">B9</f>
        <v>C₃H₈</v>
      </c>
      <c r="B29" s="13" t="n">
        <v>0</v>
      </c>
      <c r="C29" s="13" t="n">
        <v>0.02</v>
      </c>
      <c r="D29" s="15" t="n">
        <f aca="false">B29*C9</f>
        <v>0</v>
      </c>
      <c r="E29" s="15" t="n">
        <f aca="false">C29*C9</f>
        <v>0.88194</v>
      </c>
      <c r="F29" s="10" t="n">
        <f aca="false">B29*H9</f>
        <v>0</v>
      </c>
      <c r="G29" s="10" t="n">
        <f aca="false">C29*H9</f>
        <v>40.86238</v>
      </c>
      <c r="H29" s="14" t="n">
        <f aca="false">B29*H21</f>
        <v>0</v>
      </c>
      <c r="I29" s="14" t="n">
        <f aca="false">C29*H21</f>
        <v>0.427858215962441</v>
      </c>
    </row>
    <row r="30" customFormat="false" ht="15" hidden="false" customHeight="false" outlineLevel="0" collapsed="false">
      <c r="A30" s="6" t="str">
        <f aca="false">B10</f>
        <v>H₂</v>
      </c>
      <c r="B30" s="13" t="n">
        <v>0.12</v>
      </c>
      <c r="C30" s="13" t="n">
        <v>0</v>
      </c>
      <c r="D30" s="15" t="n">
        <f aca="false">B30*C10</f>
        <v>0.24192</v>
      </c>
      <c r="E30" s="15" t="n">
        <f aca="false">C30*C10</f>
        <v>0</v>
      </c>
      <c r="F30" s="10" t="n">
        <f aca="false">B30*H10</f>
        <v>29.01816</v>
      </c>
      <c r="G30" s="10" t="n">
        <f aca="false">C30*H10</f>
        <v>0</v>
      </c>
      <c r="H30" s="14" t="n">
        <f aca="false">B30*H22</f>
        <v>0.36288</v>
      </c>
      <c r="I30" s="14" t="n">
        <f aca="false">C30*H22</f>
        <v>0</v>
      </c>
    </row>
    <row r="31" customFormat="false" ht="15" hidden="false" customHeight="false" outlineLevel="0" collapsed="false">
      <c r="A31" s="6" t="str">
        <f aca="false">B11</f>
        <v>N₂</v>
      </c>
      <c r="B31" s="13" t="n">
        <v>0.03</v>
      </c>
      <c r="C31" s="13" t="n">
        <v>0.035</v>
      </c>
      <c r="D31" s="15" t="n">
        <f aca="false">B31*C11</f>
        <v>0.84042</v>
      </c>
      <c r="E31" s="15" t="n">
        <f aca="false">C31*C11</f>
        <v>0.98049</v>
      </c>
      <c r="F31" s="10" t="n">
        <f aca="false">B31*H11</f>
        <v>0</v>
      </c>
      <c r="G31" s="10" t="n">
        <f aca="false">C31*H11</f>
        <v>0</v>
      </c>
      <c r="H31" s="14" t="n">
        <f aca="false">B31*H23</f>
        <v>0</v>
      </c>
      <c r="I31" s="14" t="n">
        <f aca="false">C31*H23</f>
        <v>0</v>
      </c>
    </row>
    <row r="32" customFormat="false" ht="15" hidden="false" customHeight="false" outlineLevel="0" collapsed="false">
      <c r="A32" s="6" t="s">
        <v>54</v>
      </c>
      <c r="B32" s="17" t="n">
        <f aca="false">SUM(B27:B31)</f>
        <v>1</v>
      </c>
      <c r="C32" s="17" t="n">
        <f aca="false">SUM(C27:C31)</f>
        <v>1</v>
      </c>
      <c r="D32" s="17" t="n">
        <f aca="false">SUM(D27:D31)</f>
        <v>16.12159</v>
      </c>
      <c r="E32" s="17" t="n">
        <f aca="false">SUM(E27:E31)</f>
        <v>18.004955</v>
      </c>
      <c r="F32" s="18" t="n">
        <f aca="false">SUM(F27:F31)</f>
        <v>773.85211</v>
      </c>
      <c r="G32" s="18" t="n">
        <f aca="false">SUM(G27:G31)</f>
        <v>843.164895</v>
      </c>
      <c r="H32" s="19" t="n">
        <f aca="false">SUM(H27:H31)</f>
        <v>2.84235498547265</v>
      </c>
      <c r="I32" s="19" t="n">
        <f aca="false">SUM(I27:I31)</f>
        <v>3.07055379107028</v>
      </c>
    </row>
    <row r="34" customFormat="false" ht="15" hidden="false" customHeight="false" outlineLevel="0" collapsed="false">
      <c r="A34" s="3" t="s">
        <v>55</v>
      </c>
    </row>
    <row r="35" customFormat="false" ht="31.5" hidden="false" customHeight="true" outlineLevel="0" collapsed="false">
      <c r="A35" s="4" t="s">
        <v>56</v>
      </c>
      <c r="B35" s="4" t="s">
        <v>57</v>
      </c>
      <c r="C35" s="4" t="s">
        <v>58</v>
      </c>
      <c r="D35" s="4" t="s">
        <v>59</v>
      </c>
    </row>
    <row r="36" customFormat="false" ht="15" hidden="false" customHeight="false" outlineLevel="0" collapsed="false">
      <c r="A36" s="5" t="s">
        <v>60</v>
      </c>
      <c r="B36" s="15" t="n">
        <f aca="false">D32</f>
        <v>16.12159</v>
      </c>
      <c r="C36" s="15" t="n">
        <f aca="false">E32</f>
        <v>18.004955</v>
      </c>
      <c r="D36" s="20" t="n">
        <f aca="false">C36/B36-1</f>
        <v>0.116822534253755</v>
      </c>
    </row>
    <row r="37" customFormat="false" ht="15" hidden="false" customHeight="false" outlineLevel="0" collapsed="false">
      <c r="A37" s="5" t="s">
        <v>11</v>
      </c>
      <c r="B37" s="21" t="n">
        <f aca="false">F32</f>
        <v>773.85211</v>
      </c>
      <c r="C37" s="21" t="n">
        <f aca="false">G32</f>
        <v>843.164895</v>
      </c>
      <c r="D37" s="20" t="n">
        <f aca="false">C37/B37-1</f>
        <v>0.0895685158757273</v>
      </c>
    </row>
    <row r="38" customFormat="false" ht="15" hidden="false" customHeight="false" outlineLevel="0" collapsed="false">
      <c r="A38" s="5" t="s">
        <v>61</v>
      </c>
      <c r="B38" s="16" t="n">
        <f aca="false">B37/B36</f>
        <v>48.0009794319295</v>
      </c>
      <c r="C38" s="16" t="n">
        <f aca="false">C37/C36</f>
        <v>46.8296030176138</v>
      </c>
      <c r="D38" s="20" t="n">
        <f aca="false">C38/B38-1</f>
        <v>-0.0244031773555132</v>
      </c>
    </row>
    <row r="39" customFormat="false" ht="15" hidden="false" customHeight="false" outlineLevel="0" collapsed="false">
      <c r="A39" s="5" t="s">
        <v>62</v>
      </c>
      <c r="B39" s="15" t="n">
        <f aca="false">H32</f>
        <v>2.84235498547265</v>
      </c>
      <c r="C39" s="15" t="n">
        <f aca="false">I32</f>
        <v>3.07055379107028</v>
      </c>
      <c r="D39" s="20" t="n">
        <f aca="false">C39/B39-1</f>
        <v>0.0802851180672251</v>
      </c>
    </row>
    <row r="40" customFormat="false" ht="15" hidden="false" customHeight="false" outlineLevel="0" collapsed="false">
      <c r="A40" s="5" t="s">
        <v>63</v>
      </c>
      <c r="B40" s="14" t="n">
        <f aca="false">B39/B36</f>
        <v>0.176307360841744</v>
      </c>
      <c r="C40" s="14" t="n">
        <f aca="false">C39/C36</f>
        <v>0.170539376025671</v>
      </c>
      <c r="D40" s="20" t="n">
        <f aca="false">C40/B40-1</f>
        <v>-0.0327155076710055</v>
      </c>
    </row>
    <row r="41" customFormat="false" ht="29.85" hidden="false" customHeight="false" outlineLevel="0" collapsed="false">
      <c r="A41" s="22" t="s">
        <v>64</v>
      </c>
      <c r="B41" s="17" t="n">
        <f aca="false">B39/B37*1000</f>
        <v>3.67299507068947</v>
      </c>
      <c r="C41" s="17" t="n">
        <f aca="false">C39/C37*1000</f>
        <v>3.64170022883873</v>
      </c>
      <c r="D41" s="23" t="n">
        <f aca="false">C41/B41-1</f>
        <v>-0.00852025152455971</v>
      </c>
    </row>
    <row r="42" customFormat="false" ht="29.85" hidden="false" customHeight="false" outlineLevel="0" collapsed="false">
      <c r="A42" s="5" t="s">
        <v>65</v>
      </c>
      <c r="B42" s="15" t="n">
        <f aca="false">B41*$E$19/1000</f>
        <v>3.87521548730135</v>
      </c>
      <c r="C42" s="15" t="n">
        <f aca="false">C41*$E$19/1000</f>
        <v>3.84219767663768</v>
      </c>
      <c r="D42" s="20" t="n">
        <f aca="false">C42/B42-1</f>
        <v>-0.00852025152455971</v>
      </c>
    </row>
    <row r="43" customFormat="false" ht="15" hidden="false" customHeight="false" outlineLevel="0" collapsed="false">
      <c r="A43" s="22" t="s">
        <v>66</v>
      </c>
      <c r="B43" s="24" t="n">
        <f aca="false">1000/B41</f>
        <v>272.257375998135</v>
      </c>
      <c r="C43" s="24" t="n">
        <f aca="false">1000/C41</f>
        <v>274.597011604901</v>
      </c>
      <c r="D43" s="23" t="n">
        <f aca="false">C43/B43-1</f>
        <v>0.00859347005086208</v>
      </c>
    </row>
    <row r="45" customFormat="false" ht="15" hidden="false" customHeight="false" outlineLevel="0" collapsed="false">
      <c r="A45" s="25" t="s">
        <v>67</v>
      </c>
    </row>
    <row r="46" customFormat="false" ht="15" hidden="false" customHeight="false" outlineLevel="0" collapsed="false">
      <c r="A46" s="2" t="s">
        <v>68</v>
      </c>
    </row>
    <row r="47" customFormat="false" ht="15" hidden="false" customHeight="false" outlineLevel="0" collapsed="false">
      <c r="A47" s="2" t="s">
        <v>69</v>
      </c>
    </row>
    <row r="48" customFormat="false" ht="15" hidden="false" customHeight="false" outlineLevel="0" collapsed="false">
      <c r="A48" s="2" t="s">
        <v>70</v>
      </c>
    </row>
    <row r="49" customFormat="false" ht="15" hidden="false" customHeight="false" outlineLevel="0" collapsed="false">
      <c r="A49" s="2" t="s">
        <v>71</v>
      </c>
    </row>
    <row r="50" customFormat="false" ht="15" hidden="false" customHeight="false" outlineLevel="0" collapsed="false">
      <c r="A50" s="2" t="s">
        <v>72</v>
      </c>
    </row>
  </sheetData>
  <mergeCells count="3"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2026-10-06T16:27:47Z</dcterms:created>
  <dc:creator>openpyxl</dc:creator>
  <dc:description/>
  <dc:language>en-US</dc:language>
  <cp:lastModifiedBy/>
  <dcterms:modified xsi:type="dcterms:W3CDTF">2026-10-06T16:27:47Z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