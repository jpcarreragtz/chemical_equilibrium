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j2_flam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0" authorId="0">
      <text>
        <r>
          <rPr>
            <sz val="10"/>
            <rFont val="Arial"/>
            <family val="2"/>
          </rPr>
          <t xml:space="preserve">Solo el aire entra caliente en el caso e); en a)–d) entra a 25 °C y este término vale 0. El etileno siempre entra a 25 °C.</t>
        </r>
      </text>
    </comment>
    <comment ref="C6" authorId="0">
      <text>
        <r>
          <rPr>
            <sz val="10"/>
            <rFont val="Arial"/>
            <family val="2"/>
          </rPr>
          <t xml:space="preserve">Smith–Van Ness 7a ed., Tabla C.4 (Tablas SVA).</t>
        </r>
      </text>
    </comment>
    <comment ref="D6" authorId="0">
      <text>
        <r>
          <rPr>
            <sz val="10"/>
            <rFont val="Arial"/>
            <family val="2"/>
          </rPr>
          <t xml:space="preserve">Smith–Van Ness 7a ed., Tabla C.1 (Tablas SVA). B, C y D en valores reales (columna del libro × 10⁻³, 10⁻⁶, 10⁵).</t>
        </r>
      </text>
    </comment>
  </commentList>
</comments>
</file>

<file path=xl/sharedStrings.xml><?xml version="1.0" encoding="utf-8"?>
<sst xmlns="http://schemas.openxmlformats.org/spreadsheetml/2006/main" count="73" uniqueCount="73">
  <si>
    <t xml:space="preserve">Sesión 18 · Ejercicio 2: Temperatura teórica de flama del etileno con distintos excesos de aire</t>
  </si>
  <si>
    <t xml:space="preserve">Etileno a 25 °C. Proceso adiabático: ΔH°R + ΔH°298 + ΔH°P = 0, donde ΔH°R es el calor sensible para llevar los reactivos de su T de entrada a 298.15 K.</t>
  </si>
  <si>
    <t xml:space="preserve">Formato: relleno amarillo = entradas y encabezados · fuente azul oscuro = constantes de tablas (Smith–Van Ness) · negro = fórmulas.</t>
  </si>
  <si>
    <t xml:space="preserve">1. Datos (Cp/R = A + B·T + C·T² + D·T⁻², T en K)</t>
  </si>
  <si>
    <t xml:space="preserve">Especie</t>
  </si>
  <si>
    <t xml:space="preserve">Fórmula</t>
  </si>
  <si>
    <t xml:space="preserve">ΔH°f298 (J/mol)</t>
  </si>
  <si>
    <t xml:space="preserve">A</t>
  </si>
  <si>
    <t xml:space="preserve">B</t>
  </si>
  <si>
    <t xml:space="preserve">C</t>
  </si>
  <si>
    <t xml:space="preserve">D</t>
  </si>
  <si>
    <t xml:space="preserve">T máx de Cp (K)</t>
  </si>
  <si>
    <t xml:space="preserve">Etileno</t>
  </si>
  <si>
    <t xml:space="preserve">C₂H₄</t>
  </si>
  <si>
    <t xml:space="preserve">Oxígeno</t>
  </si>
  <si>
    <t xml:space="preserve">O₂</t>
  </si>
  <si>
    <t xml:space="preserve">Nitrógeno</t>
  </si>
  <si>
    <t xml:space="preserve">N₂</t>
  </si>
  <si>
    <t xml:space="preserve">Dióxido de carbono</t>
  </si>
  <si>
    <t xml:space="preserve">CO₂</t>
  </si>
  <si>
    <t xml:space="preserve">Agua (vapor)</t>
  </si>
  <si>
    <t xml:space="preserve">H₂O</t>
  </si>
  <si>
    <t xml:space="preserve">Base: C₂H₄ alimentado (mol)</t>
  </si>
  <si>
    <t xml:space="preserve">Fracción mol de O₂ en el aire (21 % O₂ / 79 % N₂)</t>
  </si>
  <si>
    <t xml:space="preserve">T₀ = temperatura de referencia y de entrada del etileno (K)</t>
  </si>
  <si>
    <t xml:space="preserve">R (J/mol·K)</t>
  </si>
  <si>
    <t xml:space="preserve">Reacción:  C₂H₄ + 3 O₂ → 2 CO₂ + 2 H₂O</t>
  </si>
  <si>
    <t xml:space="preserve">ΔH°298 = 2·ΔH°f(CO₂) + 2·ΔH°f(H₂O,g) − ΔH°f(C₂H₄)  (J)</t>
  </si>
  <si>
    <t xml:space="preserve">2. Casos y balance de materia (mol)</t>
  </si>
  <si>
    <t xml:space="preserve">Caso</t>
  </si>
  <si>
    <t xml:space="preserve">a) teórico</t>
  </si>
  <si>
    <t xml:space="preserve">b) 25 % exceso</t>
  </si>
  <si>
    <t xml:space="preserve">c) 50 % exceso</t>
  </si>
  <si>
    <t xml:space="preserve">d) 100 % exceso</t>
  </si>
  <si>
    <t xml:space="preserve">e) 50 % exceso, aire a 500 °C</t>
  </si>
  <si>
    <t xml:space="preserve">Exceso de aire (fracción)</t>
  </si>
  <si>
    <t xml:space="preserve">Temperatura de entrada del aire (°C)</t>
  </si>
  <si>
    <t xml:space="preserve">T de entrada del aire (K)</t>
  </si>
  <si>
    <t xml:space="preserve">O₂ alimentado = 3·(1 + exceso)</t>
  </si>
  <si>
    <t xml:space="preserve">N₂ alimentado = O₂·0.79/0.21</t>
  </si>
  <si>
    <t xml:space="preserve">Salida CO₂</t>
  </si>
  <si>
    <t xml:space="preserve">Salida H₂O</t>
  </si>
  <si>
    <t xml:space="preserve">Salida O₂ (sobrante)</t>
  </si>
  <si>
    <t xml:space="preserve">Salida N₂</t>
  </si>
  <si>
    <t xml:space="preserve">Total de productos (mol)</t>
  </si>
  <si>
    <t xml:space="preserve">3. Productos: Σ nᵢ·A, Σ nᵢ·B, Σ nᵢ·D  (C = 0 para todos los productos)</t>
  </si>
  <si>
    <t xml:space="preserve">Σ nᵢ·A</t>
  </si>
  <si>
    <t xml:space="preserve">Σ nᵢ·B</t>
  </si>
  <si>
    <t xml:space="preserve">Σ nᵢ·D</t>
  </si>
  <si>
    <t xml:space="preserve">4. Calor sensible del aire precalentado (de T aire a 298.15 K) y calor disponible</t>
  </si>
  <si>
    <t xml:space="preserve">Aire: Σ n·∫Cp dT de 298.15 K a T aire (J)</t>
  </si>
  <si>
    <t xml:space="preserve">ΔH°R = −(calor sensible del aire)  (J)</t>
  </si>
  <si>
    <t xml:space="preserve">Calor que absorben los productos: −(ΔH°R + ΔH°298)  (J)</t>
  </si>
  <si>
    <t xml:space="preserve">5. Iteración:  T = T₀ + [−(ΔH°R + ΔH°298)] / ⟨Cp⟩H ,  ⟨Cp⟩H evaluado en la T anterior  (K)</t>
  </si>
  <si>
    <t xml:space="preserve">Iteración</t>
  </si>
  <si>
    <t xml:space="preserve">a)</t>
  </si>
  <si>
    <t xml:space="preserve">b)</t>
  </si>
  <si>
    <t xml:space="preserve">c)</t>
  </si>
  <si>
    <t xml:space="preserve">d)</t>
  </si>
  <si>
    <t xml:space="preserve">e)</t>
  </si>
  <si>
    <t xml:space="preserve">Valor inicial supuesto (K)</t>
  </si>
  <si>
    <t xml:space="preserve">Cambio en la última iteración (K)</t>
  </si>
  <si>
    <t xml:space="preserve">6. Resultados</t>
  </si>
  <si>
    <t xml:space="preserve">Temperatura teórica de flama (K)</t>
  </si>
  <si>
    <t xml:space="preserve">Temperatura teórica de flama (°C)</t>
  </si>
  <si>
    <t xml:space="preserve">Comprobación: ΔH°R + ΔH°298 + ΔH°P  (J, debe ser 0)</t>
  </si>
  <si>
    <t xml:space="preserve">¿Dentro del intervalo de Cp (≤ 2000 K)?</t>
  </si>
  <si>
    <t xml:space="preserve">Notas y supuestos:</t>
  </si>
  <si>
    <t xml:space="preserve">• Mismo método que el Ejercicio 1: Q = ΔH = 0. ΔH°298 no incluye al N₂ (no reacciona); ΔH°P sí lo incluye.</t>
  </si>
  <si>
    <t xml:space="preserve">• Caso e): el aire entra a 773.15 K. Se lleva primero a 298.15 K (ΔH°R &lt; 0), se reacciona a 298.15 K y se calientan los productos; el calor del precalentamiento se suma al de la combustión.</t>
  </si>
  <si>
    <t xml:space="preserve">• Combustión completa, sin disociación de CO₂ ni H₂O: por eso es la temperatura máxima teórica. Agua producto como vapor.</t>
  </si>
  <si>
    <t xml:space="preserve">• Los Cp de la Tabla C.1 valen hasta 2000 K; los casos por encima de ese valor son una extrapolación (se marcan arriba).</t>
  </si>
  <si>
    <t xml:space="preserve">• Más exceso de aire → más moles que calentar → menor temperatura de flama. Precalentar el aire la recupera.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</si>
</sst>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0"/>
    <numFmt numFmtId="167" formatCode="0.000E+00"/>
    <numFmt numFmtId="168" formatCode="0"/>
    <numFmt numFmtId="169" formatCode="0.00"/>
    <numFmt numFmtId="170" formatCode="0%"/>
    <numFmt numFmtId="171" formatCode="0.0000"/>
    <numFmt numFmtId="172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sz val="10"/>
      <color rgb="FF595959"/>
      <name val="Aptos Narrow"/>
      <family val="0"/>
      <charset val="1"/>
    </font>
    <font>
      <b val="true"/>
      <sz val="12"/>
      <color rgb="FF1F3864"/>
      <name val="Aptos Narrow"/>
      <family val="0"/>
      <charset val="1"/>
    </font>
    <font>
      <b val="true"/>
      <sz val="11"/>
      <name val="Aptos Narrow"/>
      <family val="0"/>
      <charset val="1"/>
    </font>
    <font>
      <sz val="11"/>
      <name val="Aptos Narrow"/>
      <family val="0"/>
      <charset val="1"/>
    </font>
    <font>
      <sz val="11"/>
      <color rgb="FF1F3864"/>
      <name val="Aptos Narrow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31.5" hidden="false" customHeight="tru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</row>
    <row r="7" customFormat="false" ht="15" hidden="false" customHeight="false" outlineLevel="0" collapsed="false">
      <c r="A7" s="5" t="s">
        <v>12</v>
      </c>
      <c r="B7" s="6" t="s">
        <v>13</v>
      </c>
      <c r="C7" s="7" t="n">
        <v>52510</v>
      </c>
      <c r="D7" s="8" t="n">
        <v>1.424</v>
      </c>
      <c r="E7" s="9" t="n">
        <v>0.014394</v>
      </c>
      <c r="F7" s="9" t="n">
        <v>-4.392E-006</v>
      </c>
      <c r="G7" s="9" t="n">
        <v>0</v>
      </c>
      <c r="H7" s="10" t="n">
        <v>1500</v>
      </c>
    </row>
    <row r="8" customFormat="false" ht="15" hidden="false" customHeight="false" outlineLevel="0" collapsed="false">
      <c r="A8" s="5" t="s">
        <v>14</v>
      </c>
      <c r="B8" s="6" t="s">
        <v>15</v>
      </c>
      <c r="C8" s="7" t="n">
        <v>0</v>
      </c>
      <c r="D8" s="8" t="n">
        <v>3.639</v>
      </c>
      <c r="E8" s="9" t="n">
        <v>0.000506</v>
      </c>
      <c r="F8" s="9" t="n">
        <v>0</v>
      </c>
      <c r="G8" s="9" t="n">
        <v>-22700</v>
      </c>
      <c r="H8" s="10" t="n">
        <v>2000</v>
      </c>
    </row>
    <row r="9" customFormat="false" ht="15" hidden="false" customHeight="false" outlineLevel="0" collapsed="false">
      <c r="A9" s="5" t="s">
        <v>16</v>
      </c>
      <c r="B9" s="6" t="s">
        <v>17</v>
      </c>
      <c r="C9" s="7" t="n">
        <v>0</v>
      </c>
      <c r="D9" s="8" t="n">
        <v>3.28</v>
      </c>
      <c r="E9" s="9" t="n">
        <v>0.000593</v>
      </c>
      <c r="F9" s="9" t="n">
        <v>0</v>
      </c>
      <c r="G9" s="9" t="n">
        <v>4000</v>
      </c>
      <c r="H9" s="10" t="n">
        <v>2000</v>
      </c>
    </row>
    <row r="10" customFormat="false" ht="15" hidden="false" customHeight="false" outlineLevel="0" collapsed="false">
      <c r="A10" s="5" t="s">
        <v>18</v>
      </c>
      <c r="B10" s="6" t="s">
        <v>19</v>
      </c>
      <c r="C10" s="7" t="n">
        <v>-393509</v>
      </c>
      <c r="D10" s="8" t="n">
        <v>5.457</v>
      </c>
      <c r="E10" s="9" t="n">
        <v>0.001045</v>
      </c>
      <c r="F10" s="9" t="n">
        <v>0</v>
      </c>
      <c r="G10" s="9" t="n">
        <v>-115700</v>
      </c>
      <c r="H10" s="10" t="n">
        <v>2000</v>
      </c>
    </row>
    <row r="11" customFormat="false" ht="15" hidden="false" customHeight="false" outlineLevel="0" collapsed="false">
      <c r="A11" s="5" t="s">
        <v>20</v>
      </c>
      <c r="B11" s="6" t="s">
        <v>21</v>
      </c>
      <c r="C11" s="7" t="n">
        <v>-241818</v>
      </c>
      <c r="D11" s="8" t="n">
        <v>3.47</v>
      </c>
      <c r="E11" s="9" t="n">
        <v>0.00145</v>
      </c>
      <c r="F11" s="9" t="n">
        <v>0</v>
      </c>
      <c r="G11" s="9" t="n">
        <v>12100</v>
      </c>
      <c r="H11" s="10" t="n">
        <v>2000</v>
      </c>
    </row>
    <row r="13" customFormat="false" ht="15" hidden="false" customHeight="false" outlineLevel="0" collapsed="false">
      <c r="A13" s="5" t="s">
        <v>22</v>
      </c>
      <c r="B13" s="11" t="n">
        <v>1</v>
      </c>
    </row>
    <row r="14" customFormat="false" ht="29.85" hidden="false" customHeight="false" outlineLevel="0" collapsed="false">
      <c r="A14" s="5" t="s">
        <v>23</v>
      </c>
      <c r="B14" s="11" t="n">
        <v>0.21</v>
      </c>
    </row>
    <row r="15" customFormat="false" ht="29.85" hidden="false" customHeight="false" outlineLevel="0" collapsed="false">
      <c r="A15" s="5" t="s">
        <v>24</v>
      </c>
      <c r="B15" s="11" t="n">
        <v>298.15</v>
      </c>
    </row>
    <row r="16" customFormat="false" ht="15" hidden="false" customHeight="false" outlineLevel="0" collapsed="false">
      <c r="A16" s="5" t="s">
        <v>25</v>
      </c>
      <c r="B16" s="8" t="n">
        <v>8.314</v>
      </c>
    </row>
    <row r="18" customFormat="false" ht="15" hidden="false" customHeight="false" outlineLevel="0" collapsed="false">
      <c r="A18" s="12" t="s">
        <v>26</v>
      </c>
    </row>
    <row r="19" customFormat="false" ht="29.85" hidden="false" customHeight="false" outlineLevel="0" collapsed="false">
      <c r="A19" s="5" t="s">
        <v>27</v>
      </c>
      <c r="B19" s="13" t="n">
        <f aca="false">(2*C10+2*C11-C7)*B13</f>
        <v>-1323164</v>
      </c>
    </row>
    <row r="21" customFormat="false" ht="15" hidden="false" customHeight="false" outlineLevel="0" collapsed="false">
      <c r="A21" s="3" t="s">
        <v>28</v>
      </c>
    </row>
    <row r="22" customFormat="false" ht="31.5" hidden="false" customHeight="true" outlineLevel="0" collapsed="false">
      <c r="A22" s="4" t="s">
        <v>29</v>
      </c>
      <c r="B22" s="4" t="s">
        <v>30</v>
      </c>
      <c r="C22" s="4" t="s">
        <v>31</v>
      </c>
      <c r="D22" s="4" t="s">
        <v>32</v>
      </c>
      <c r="E22" s="4" t="s">
        <v>33</v>
      </c>
      <c r="F22" s="4" t="s">
        <v>34</v>
      </c>
    </row>
    <row r="23" customFormat="false" ht="15" hidden="false" customHeight="false" outlineLevel="0" collapsed="false">
      <c r="A23" s="5" t="s">
        <v>35</v>
      </c>
      <c r="B23" s="14" t="n">
        <v>0</v>
      </c>
      <c r="C23" s="14" t="n">
        <v>0.25</v>
      </c>
      <c r="D23" s="14" t="n">
        <v>0.5</v>
      </c>
      <c r="E23" s="14" t="n">
        <v>1</v>
      </c>
      <c r="F23" s="14" t="n">
        <v>0.5</v>
      </c>
    </row>
    <row r="24" customFormat="false" ht="15" hidden="false" customHeight="false" outlineLevel="0" collapsed="false">
      <c r="A24" s="5" t="s">
        <v>36</v>
      </c>
      <c r="B24" s="15" t="n">
        <v>25</v>
      </c>
      <c r="C24" s="15" t="n">
        <v>25</v>
      </c>
      <c r="D24" s="15" t="n">
        <v>25</v>
      </c>
      <c r="E24" s="15" t="n">
        <v>25</v>
      </c>
      <c r="F24" s="15" t="n">
        <v>500</v>
      </c>
    </row>
    <row r="25" customFormat="false" ht="15" hidden="false" customHeight="false" outlineLevel="0" collapsed="false">
      <c r="A25" s="5" t="s">
        <v>37</v>
      </c>
      <c r="B25" s="16" t="n">
        <f aca="false">B24+273.15</f>
        <v>298.15</v>
      </c>
      <c r="C25" s="16" t="n">
        <f aca="false">C24+273.15</f>
        <v>298.15</v>
      </c>
      <c r="D25" s="16" t="n">
        <f aca="false">D24+273.15</f>
        <v>298.15</v>
      </c>
      <c r="E25" s="16" t="n">
        <f aca="false">E24+273.15</f>
        <v>298.15</v>
      </c>
      <c r="F25" s="16" t="n">
        <f aca="false">F24+273.15</f>
        <v>773.15</v>
      </c>
    </row>
    <row r="26" customFormat="false" ht="15" hidden="false" customHeight="false" outlineLevel="0" collapsed="false">
      <c r="A26" s="5" t="s">
        <v>38</v>
      </c>
      <c r="B26" s="16" t="n">
        <f aca="false">3*$B$13*(1+B23)</f>
        <v>3</v>
      </c>
      <c r="C26" s="16" t="n">
        <f aca="false">3*$B$13*(1+C23)</f>
        <v>3.75</v>
      </c>
      <c r="D26" s="16" t="n">
        <f aca="false">3*$B$13*(1+D23)</f>
        <v>4.5</v>
      </c>
      <c r="E26" s="16" t="n">
        <f aca="false">3*$B$13*(1+E23)</f>
        <v>6</v>
      </c>
      <c r="F26" s="16" t="n">
        <f aca="false">3*$B$13*(1+F23)</f>
        <v>4.5</v>
      </c>
    </row>
    <row r="27" customFormat="false" ht="15" hidden="false" customHeight="false" outlineLevel="0" collapsed="false">
      <c r="A27" s="5" t="s">
        <v>39</v>
      </c>
      <c r="B27" s="16" t="n">
        <f aca="false">B26*(1-$B$14)/$B$14</f>
        <v>11.2857142857143</v>
      </c>
      <c r="C27" s="16" t="n">
        <f aca="false">C26*(1-$B$14)/$B$14</f>
        <v>14.1071428571429</v>
      </c>
      <c r="D27" s="16" t="n">
        <f aca="false">D26*(1-$B$14)/$B$14</f>
        <v>16.9285714285714</v>
      </c>
      <c r="E27" s="16" t="n">
        <f aca="false">E26*(1-$B$14)/$B$14</f>
        <v>22.5714285714286</v>
      </c>
      <c r="F27" s="16" t="n">
        <f aca="false">F26*(1-$B$14)/$B$14</f>
        <v>16.9285714285714</v>
      </c>
    </row>
    <row r="28" customFormat="false" ht="15" hidden="false" customHeight="false" outlineLevel="0" collapsed="false">
      <c r="A28" s="5" t="s">
        <v>40</v>
      </c>
      <c r="B28" s="16" t="n">
        <f aca="false">2*$B$13</f>
        <v>2</v>
      </c>
      <c r="C28" s="16" t="n">
        <f aca="false">2*$B$13</f>
        <v>2</v>
      </c>
      <c r="D28" s="16" t="n">
        <f aca="false">2*$B$13</f>
        <v>2</v>
      </c>
      <c r="E28" s="16" t="n">
        <f aca="false">2*$B$13</f>
        <v>2</v>
      </c>
      <c r="F28" s="16" t="n">
        <f aca="false">2*$B$13</f>
        <v>2</v>
      </c>
    </row>
    <row r="29" customFormat="false" ht="15" hidden="false" customHeight="false" outlineLevel="0" collapsed="false">
      <c r="A29" s="5" t="s">
        <v>41</v>
      </c>
      <c r="B29" s="16" t="n">
        <f aca="false">2*$B$13</f>
        <v>2</v>
      </c>
      <c r="C29" s="16" t="n">
        <f aca="false">2*$B$13</f>
        <v>2</v>
      </c>
      <c r="D29" s="16" t="n">
        <f aca="false">2*$B$13</f>
        <v>2</v>
      </c>
      <c r="E29" s="16" t="n">
        <f aca="false">2*$B$13</f>
        <v>2</v>
      </c>
      <c r="F29" s="16" t="n">
        <f aca="false">2*$B$13</f>
        <v>2</v>
      </c>
    </row>
    <row r="30" customFormat="false" ht="15" hidden="false" customHeight="false" outlineLevel="0" collapsed="false">
      <c r="A30" s="5" t="s">
        <v>42</v>
      </c>
      <c r="B30" s="16" t="n">
        <f aca="false">B26-3*$B$13</f>
        <v>0</v>
      </c>
      <c r="C30" s="16" t="n">
        <f aca="false">C26-3*$B$13</f>
        <v>0.75</v>
      </c>
      <c r="D30" s="16" t="n">
        <f aca="false">D26-3*$B$13</f>
        <v>1.5</v>
      </c>
      <c r="E30" s="16" t="n">
        <f aca="false">E26-3*$B$13</f>
        <v>3</v>
      </c>
      <c r="F30" s="16" t="n">
        <f aca="false">F26-3*$B$13</f>
        <v>1.5</v>
      </c>
    </row>
    <row r="31" customFormat="false" ht="15" hidden="false" customHeight="false" outlineLevel="0" collapsed="false">
      <c r="A31" s="5" t="s">
        <v>43</v>
      </c>
      <c r="B31" s="16" t="n">
        <f aca="false">B27</f>
        <v>11.2857142857143</v>
      </c>
      <c r="C31" s="16" t="n">
        <f aca="false">C27</f>
        <v>14.1071428571429</v>
      </c>
      <c r="D31" s="16" t="n">
        <f aca="false">D27</f>
        <v>16.9285714285714</v>
      </c>
      <c r="E31" s="16" t="n">
        <f aca="false">E27</f>
        <v>22.5714285714286</v>
      </c>
      <c r="F31" s="16" t="n">
        <f aca="false">F27</f>
        <v>16.9285714285714</v>
      </c>
    </row>
    <row r="32" customFormat="false" ht="15" hidden="false" customHeight="false" outlineLevel="0" collapsed="false">
      <c r="A32" s="17" t="s">
        <v>44</v>
      </c>
      <c r="B32" s="18" t="n">
        <f aca="false">SUM(B28:B31)</f>
        <v>15.2857142857143</v>
      </c>
      <c r="C32" s="18" t="n">
        <f aca="false">SUM(C28:C31)</f>
        <v>18.8571428571429</v>
      </c>
      <c r="D32" s="18" t="n">
        <f aca="false">SUM(D28:D31)</f>
        <v>22.4285714285714</v>
      </c>
      <c r="E32" s="18" t="n">
        <f aca="false">SUM(E28:E31)</f>
        <v>29.5714285714286</v>
      </c>
      <c r="F32" s="18" t="n">
        <f aca="false">SUM(F28:F31)</f>
        <v>22.4285714285714</v>
      </c>
    </row>
    <row r="34" customFormat="false" ht="15" hidden="false" customHeight="false" outlineLevel="0" collapsed="false">
      <c r="A34" s="3" t="s">
        <v>45</v>
      </c>
    </row>
    <row r="35" customFormat="false" ht="15" hidden="false" customHeight="false" outlineLevel="0" collapsed="false">
      <c r="A35" s="5" t="s">
        <v>46</v>
      </c>
      <c r="B35" s="19" t="n">
        <f aca="false">B28*$D$10+B29*$D$11+B30*$D$8+B31*$D$9</f>
        <v>54.8711428571429</v>
      </c>
      <c r="C35" s="19" t="n">
        <f aca="false">C28*$D$10+C29*$D$11+C30*$D$8+C31*$D$9</f>
        <v>66.8546785714286</v>
      </c>
      <c r="D35" s="19" t="n">
        <f aca="false">D28*$D$10+D29*$D$11+D30*$D$8+D31*$D$9</f>
        <v>78.8382142857143</v>
      </c>
      <c r="E35" s="19" t="n">
        <f aca="false">E28*$D$10+E29*$D$11+E30*$D$8+E31*$D$9</f>
        <v>102.805285714286</v>
      </c>
      <c r="F35" s="19" t="n">
        <f aca="false">F28*$D$10+F29*$D$11+F30*$D$8+F31*$D$9</f>
        <v>78.8382142857143</v>
      </c>
    </row>
    <row r="36" customFormat="false" ht="15" hidden="false" customHeight="false" outlineLevel="0" collapsed="false">
      <c r="A36" s="5" t="s">
        <v>47</v>
      </c>
      <c r="B36" s="20" t="n">
        <f aca="false">B28*$E$10+B29*$E$11+B30*$E$8+B31*$E$9</f>
        <v>0.0116824285714286</v>
      </c>
      <c r="C36" s="20" t="n">
        <f aca="false">C28*$E$10+C29*$E$11+C30*$E$8+C31*$E$9</f>
        <v>0.0137350357142857</v>
      </c>
      <c r="D36" s="20" t="n">
        <f aca="false">D28*$E$10+D29*$E$11+D30*$E$8+D31*$E$9</f>
        <v>0.0157876428571429</v>
      </c>
      <c r="E36" s="20" t="n">
        <f aca="false">E28*$E$10+E29*$E$11+E30*$E$8+E31*$E$9</f>
        <v>0.0198928571428571</v>
      </c>
      <c r="F36" s="20" t="n">
        <f aca="false">F28*$E$10+F29*$E$11+F30*$E$8+F31*$E$9</f>
        <v>0.0157876428571429</v>
      </c>
    </row>
    <row r="37" customFormat="false" ht="15" hidden="false" customHeight="false" outlineLevel="0" collapsed="false">
      <c r="A37" s="5" t="s">
        <v>48</v>
      </c>
      <c r="B37" s="20" t="n">
        <f aca="false">B28*$G$10+B29*$G$11+B30*$G$8+B31*$G$9</f>
        <v>-162057.142857143</v>
      </c>
      <c r="C37" s="20" t="n">
        <f aca="false">C28*$G$10+C29*$G$11+C30*$G$8+C31*$G$9</f>
        <v>-167796.428571429</v>
      </c>
      <c r="D37" s="20" t="n">
        <f aca="false">D28*$G$10+D29*$G$11+D30*$G$8+D31*$G$9</f>
        <v>-173535.714285714</v>
      </c>
      <c r="E37" s="20" t="n">
        <f aca="false">E28*$G$10+E29*$G$11+E30*$G$8+E31*$G$9</f>
        <v>-185014.285714286</v>
      </c>
      <c r="F37" s="20" t="n">
        <f aca="false">F28*$G$10+F29*$G$11+F30*$G$8+F31*$G$9</f>
        <v>-173535.714285714</v>
      </c>
    </row>
    <row r="39" customFormat="false" ht="15" hidden="false" customHeight="false" outlineLevel="0" collapsed="false">
      <c r="A39" s="3" t="s">
        <v>49</v>
      </c>
    </row>
    <row r="40" customFormat="false" ht="15" hidden="false" customHeight="false" outlineLevel="0" collapsed="false">
      <c r="A40" s="5" t="s">
        <v>50</v>
      </c>
      <c r="B40" s="21" t="n">
        <f aca="false">B26*$B$16*($D$8*(B25-$B$15)+$E$8/2*(B25^2-$B$15^2)+$F$8/3*(B25^3-$B$15^3)+$G$8*(B25-$B$15)/(B25*$B$15))+B27*$B$16*($D$9*(B25-$B$15)+$E$9/2*(B25^2-$B$15^2)+$F$9/3*(B25^3-$B$15^3)+$G$9*(B25-$B$15)/(B25*$B$15))</f>
        <v>0</v>
      </c>
      <c r="C40" s="21" t="n">
        <f aca="false">C26*$B$16*($D$8*(C25-$B$15)+$E$8/2*(C25^2-$B$15^2)+$F$8/3*(C25^3-$B$15^3)+$G$8*(C25-$B$15)/(C25*$B$15))+C27*$B$16*($D$9*(C25-$B$15)+$E$9/2*(C25^2-$B$15^2)+$F$9/3*(C25^3-$B$15^3)+$G$9*(C25-$B$15)/(C25*$B$15))</f>
        <v>0</v>
      </c>
      <c r="D40" s="21" t="n">
        <f aca="false">D26*$B$16*($D$8*(D25-$B$15)+$E$8/2*(D25^2-$B$15^2)+$F$8/3*(D25^3-$B$15^3)+$G$8*(D25-$B$15)/(D25*$B$15))+D27*$B$16*($D$9*(D25-$B$15)+$E$9/2*(D25^2-$B$15^2)+$F$9/3*(D25^3-$B$15^3)+$G$9*(D25-$B$15)/(D25*$B$15))</f>
        <v>0</v>
      </c>
      <c r="E40" s="21" t="n">
        <f aca="false">E26*$B$16*($D$8*(E25-$B$15)+$E$8/2*(E25^2-$B$15^2)+$F$8/3*(E25^3-$B$15^3)+$G$8*(E25-$B$15)/(E25*$B$15))+E27*$B$16*($D$9*(E25-$B$15)+$E$9/2*(E25^2-$B$15^2)+$F$9/3*(E25^3-$B$15^3)+$G$9*(E25-$B$15)/(E25*$B$15))</f>
        <v>0</v>
      </c>
      <c r="F40" s="21" t="n">
        <f aca="false">F26*$B$16*($D$8*(F25-$B$15)+$E$8/2*(F25^2-$B$15^2)+$F$8/3*(F25^3-$B$15^3)+$G$8*(F25-$B$15)/(F25*$B$15))+F27*$B$16*($D$9*(F25-$B$15)+$E$9/2*(F25^2-$B$15^2)+$F$9/3*(F25^3-$B$15^3)+$G$9*(F25-$B$15)/(F25*$B$15))</f>
        <v>309410.777165788</v>
      </c>
    </row>
    <row r="41" customFormat="false" ht="15" hidden="false" customHeight="false" outlineLevel="0" collapsed="false">
      <c r="A41" s="5" t="s">
        <v>51</v>
      </c>
      <c r="B41" s="21" t="n">
        <f aca="false">-B40</f>
        <v>-0</v>
      </c>
      <c r="C41" s="21" t="n">
        <f aca="false">-C40</f>
        <v>-0</v>
      </c>
      <c r="D41" s="21" t="n">
        <f aca="false">-D40</f>
        <v>-0</v>
      </c>
      <c r="E41" s="21" t="n">
        <f aca="false">-E40</f>
        <v>-0</v>
      </c>
      <c r="F41" s="21" t="n">
        <f aca="false">-F40</f>
        <v>-309410.777165788</v>
      </c>
    </row>
    <row r="42" customFormat="false" ht="29.85" hidden="false" customHeight="false" outlineLevel="0" collapsed="false">
      <c r="A42" s="17" t="s">
        <v>52</v>
      </c>
      <c r="B42" s="13" t="n">
        <f aca="false">-(B41+$B$19)</f>
        <v>1323164</v>
      </c>
      <c r="C42" s="13" t="n">
        <f aca="false">-(C41+$B$19)</f>
        <v>1323164</v>
      </c>
      <c r="D42" s="13" t="n">
        <f aca="false">-(D41+$B$19)</f>
        <v>1323164</v>
      </c>
      <c r="E42" s="13" t="n">
        <f aca="false">-(E41+$B$19)</f>
        <v>1323164</v>
      </c>
      <c r="F42" s="13" t="n">
        <f aca="false">-(F41+$B$19)</f>
        <v>1632574.77716579</v>
      </c>
    </row>
    <row r="44" customFormat="false" ht="15" hidden="false" customHeight="false" outlineLevel="0" collapsed="false">
      <c r="A44" s="3" t="s">
        <v>53</v>
      </c>
    </row>
    <row r="45" customFormat="false" ht="15" hidden="false" customHeight="false" outlineLevel="0" collapsed="false">
      <c r="A45" s="4" t="s">
        <v>54</v>
      </c>
      <c r="B45" s="4" t="s">
        <v>55</v>
      </c>
      <c r="C45" s="4" t="s">
        <v>56</v>
      </c>
      <c r="D45" s="4" t="s">
        <v>57</v>
      </c>
      <c r="E45" s="4" t="s">
        <v>58</v>
      </c>
      <c r="F45" s="4" t="s">
        <v>59</v>
      </c>
    </row>
    <row r="46" customFormat="false" ht="15" hidden="false" customHeight="false" outlineLevel="0" collapsed="false">
      <c r="A46" s="5" t="s">
        <v>60</v>
      </c>
      <c r="B46" s="11" t="n">
        <v>2000</v>
      </c>
      <c r="C46" s="11" t="n">
        <v>2000</v>
      </c>
      <c r="D46" s="11" t="n">
        <v>2000</v>
      </c>
      <c r="E46" s="11" t="n">
        <v>2000</v>
      </c>
      <c r="F46" s="11" t="n">
        <v>2000</v>
      </c>
    </row>
    <row r="47" customFormat="false" ht="15" hidden="false" customHeight="false" outlineLevel="0" collapsed="false">
      <c r="A47" s="22" t="n">
        <v>1</v>
      </c>
      <c r="B47" s="16" t="n">
        <f aca="false">$B$15+B$42/($B$16*(B$35+B$36/2*$B$15*((B46/$B$15)+1)+B$37/((B46/$B$15)*$B$15^2)))</f>
        <v>2637.77140976611</v>
      </c>
      <c r="C47" s="16" t="n">
        <f aca="false">$B$15+C$42/($B$16*(C$35+C$36/2*$B$15*((C46/$B$15)+1)+C$37/((C46/$B$15)*$B$15^2)))</f>
        <v>2230.60372655747</v>
      </c>
      <c r="D47" s="16" t="n">
        <f aca="false">$B$15+D$42/($B$16*(D$35+D$36/2*$B$15*((D46/$B$15)+1)+D$37/((D46/$B$15)*$B$15^2)))</f>
        <v>1944.14827616897</v>
      </c>
      <c r="E47" s="16" t="n">
        <f aca="false">$B$15+E$42/($B$16*(E$35+E$36/2*$B$15*((E46/$B$15)+1)+E$37/((E46/$B$15)*$B$15^2)))</f>
        <v>1567.75182481464</v>
      </c>
      <c r="F47" s="16" t="n">
        <f aca="false">$B$15+F$42/($B$16*(F$35+F$36/2*$B$15*((F46/$B$15)+1)+F$37/((F46/$B$15)*$B$15^2)))</f>
        <v>2329.05113465287</v>
      </c>
    </row>
    <row r="48" customFormat="false" ht="15" hidden="false" customHeight="false" outlineLevel="0" collapsed="false">
      <c r="A48" s="22" t="n">
        <v>2</v>
      </c>
      <c r="B48" s="16" t="n">
        <f aca="false">$B$15+B$42/($B$16*(B$35+B$36/2*$B$15*((B47/$B$15)+1)+B$37/((B47/$B$15)*$B$15^2)))</f>
        <v>2514.26325824511</v>
      </c>
      <c r="C48" s="16" t="n">
        <f aca="false">$B$15+C$42/($B$16*(C$35+C$36/2*$B$15*((C47/$B$15)+1)+C$37/((C47/$B$15)*$B$15^2)))</f>
        <v>2193.48752865329</v>
      </c>
      <c r="D48" s="16" t="n">
        <f aca="false">$B$15+D$42/($B$16*(D$35+D$36/2*$B$15*((D47/$B$15)+1)+D$37/((D47/$B$15)*$B$15^2)))</f>
        <v>1951.83179154313</v>
      </c>
      <c r="E48" s="16" t="n">
        <f aca="false">$B$15+E$42/($B$16*(E$35+E$36/2*$B$15*((E47/$B$15)+1)+E$37/((E47/$B$15)*$B$15^2)))</f>
        <v>1613.77239044705</v>
      </c>
      <c r="F48" s="16" t="n">
        <f aca="false">$B$15+F$42/($B$16*(F$35+F$36/2*$B$15*((F47/$B$15)+1)+F$37/((F47/$B$15)*$B$15^2)))</f>
        <v>2275.10094487756</v>
      </c>
    </row>
    <row r="49" customFormat="false" ht="15" hidden="false" customHeight="false" outlineLevel="0" collapsed="false">
      <c r="A49" s="22" t="n">
        <v>3</v>
      </c>
      <c r="B49" s="16" t="n">
        <f aca="false">$B$15+B$42/($B$16*(B$35+B$36/2*$B$15*((B48/$B$15)+1)+B$37/((B48/$B$15)*$B$15^2)))</f>
        <v>2537.07071795716</v>
      </c>
      <c r="C49" s="16" t="n">
        <f aca="false">$B$15+C$42/($B$16*(C$35+C$36/2*$B$15*((C48/$B$15)+1)+C$37/((C48/$B$15)*$B$15^2)))</f>
        <v>2199.3555141376</v>
      </c>
      <c r="D49" s="16" t="n">
        <f aca="false">$B$15+D$42/($B$16*(D$35+D$36/2*$B$15*((D48/$B$15)+1)+D$37/((D48/$B$15)*$B$15^2)))</f>
        <v>1950.77003145521</v>
      </c>
      <c r="E49" s="16" t="n">
        <f aca="false">$B$15+E$42/($B$16*(E$35+E$36/2*$B$15*((E48/$B$15)+1)+E$37/((E48/$B$15)*$B$15^2)))</f>
        <v>1608.69106616808</v>
      </c>
      <c r="F49" s="16" t="n">
        <f aca="false">$B$15+F$42/($B$16*(F$35+F$36/2*$B$15*((F48/$B$15)+1)+F$37/((F48/$B$15)*$B$15^2)))</f>
        <v>2283.73277136871</v>
      </c>
    </row>
    <row r="50" customFormat="false" ht="15" hidden="false" customHeight="false" outlineLevel="0" collapsed="false">
      <c r="A50" s="22" t="n">
        <v>4</v>
      </c>
      <c r="B50" s="16" t="n">
        <f aca="false">$B$15+B$42/($B$16*(B$35+B$36/2*$B$15*((B49/$B$15)+1)+B$37/((B49/$B$15)*$B$15^2)))</f>
        <v>2532.82140829686</v>
      </c>
      <c r="C50" s="16" t="n">
        <f aca="false">$B$15+C$42/($B$16*(C$35+C$36/2*$B$15*((C49/$B$15)+1)+C$37/((C49/$B$15)*$B$15^2)))</f>
        <v>2198.42516460303</v>
      </c>
      <c r="D50" s="16" t="n">
        <f aca="false">$B$15+D$42/($B$16*(D$35+D$36/2*$B$15*((D49/$B$15)+1)+D$37/((D49/$B$15)*$B$15^2)))</f>
        <v>1950.91666195916</v>
      </c>
      <c r="E50" s="16" t="n">
        <f aca="false">$B$15+E$42/($B$16*(E$35+E$36/2*$B$15*((E49/$B$15)+1)+E$37/((E49/$B$15)*$B$15^2)))</f>
        <v>1609.24984547595</v>
      </c>
      <c r="F50" s="16" t="n">
        <f aca="false">$B$15+F$42/($B$16*(F$35+F$36/2*$B$15*((F49/$B$15)+1)+F$37/((F49/$B$15)*$B$15^2)))</f>
        <v>2282.34627280455</v>
      </c>
    </row>
    <row r="51" customFormat="false" ht="15" hidden="false" customHeight="false" outlineLevel="0" collapsed="false">
      <c r="A51" s="22" t="n">
        <v>5</v>
      </c>
      <c r="B51" s="16" t="n">
        <f aca="false">$B$15+B$42/($B$16*(B$35+B$36/2*$B$15*((B50/$B$15)+1)+B$37/((B50/$B$15)*$B$15^2)))</f>
        <v>2533.61180046491</v>
      </c>
      <c r="C51" s="16" t="n">
        <f aca="false">$B$15+C$42/($B$16*(C$35+C$36/2*$B$15*((C50/$B$15)+1)+C$37/((C50/$B$15)*$B$15^2)))</f>
        <v>2198.57260214682</v>
      </c>
      <c r="D51" s="16" t="n">
        <f aca="false">$B$15+D$42/($B$16*(D$35+D$36/2*$B$15*((D50/$B$15)+1)+D$37/((D50/$B$15)*$B$15^2)))</f>
        <v>1950.89641035927</v>
      </c>
      <c r="E51" s="16" t="n">
        <f aca="false">$B$15+E$42/($B$16*(E$35+E$36/2*$B$15*((E50/$B$15)+1)+E$37/((E50/$B$15)*$B$15^2)))</f>
        <v>1609.18837067522</v>
      </c>
      <c r="F51" s="16" t="n">
        <f aca="false">$B$15+F$42/($B$16*(F$35+F$36/2*$B$15*((F50/$B$15)+1)+F$37/((F50/$B$15)*$B$15^2)))</f>
        <v>2282.56884053662</v>
      </c>
    </row>
    <row r="52" customFormat="false" ht="15" hidden="false" customHeight="false" outlineLevel="0" collapsed="false">
      <c r="A52" s="22" t="n">
        <v>6</v>
      </c>
      <c r="B52" s="16" t="n">
        <f aca="false">$B$15+B$42/($B$16*(B$35+B$36/2*$B$15*((B51/$B$15)+1)+B$37/((B51/$B$15)*$B$15^2)))</f>
        <v>2533.46473850549</v>
      </c>
      <c r="C52" s="16" t="n">
        <f aca="false">$B$15+C$42/($B$16*(C$35+C$36/2*$B$15*((C51/$B$15)+1)+C$37/((C51/$B$15)*$B$15^2)))</f>
        <v>2198.54923525426</v>
      </c>
      <c r="D52" s="16" t="n">
        <f aca="false">$B$15+D$42/($B$16*(D$35+D$36/2*$B$15*((D51/$B$15)+1)+D$37/((D51/$B$15)*$B$15^2)))</f>
        <v>1950.89920733842</v>
      </c>
      <c r="E52" s="16" t="n">
        <f aca="false">$B$15+E$42/($B$16*(E$35+E$36/2*$B$15*((E51/$B$15)+1)+E$37/((E51/$B$15)*$B$15^2)))</f>
        <v>1609.19513357049</v>
      </c>
      <c r="F52" s="16" t="n">
        <f aca="false">$B$15+F$42/($B$16*(F$35+F$36/2*$B$15*((F51/$B$15)+1)+F$37/((F51/$B$15)*$B$15^2)))</f>
        <v>2282.53310922504</v>
      </c>
    </row>
    <row r="53" customFormat="false" ht="15" hidden="false" customHeight="false" outlineLevel="0" collapsed="false">
      <c r="A53" s="22" t="n">
        <v>7</v>
      </c>
      <c r="B53" s="16" t="n">
        <f aca="false">$B$15+B$42/($B$16*(B$35+B$36/2*$B$15*((B52/$B$15)+1)+B$37/((B52/$B$15)*$B$15^2)))</f>
        <v>2533.49209958551</v>
      </c>
      <c r="C53" s="16" t="n">
        <f aca="false">$B$15+C$42/($B$16*(C$35+C$36/2*$B$15*((C52/$B$15)+1)+C$37/((C52/$B$15)*$B$15^2)))</f>
        <v>2198.55293855459</v>
      </c>
      <c r="D53" s="16" t="n">
        <f aca="false">$B$15+D$42/($B$16*(D$35+D$36/2*$B$15*((D52/$B$15)+1)+D$37/((D52/$B$15)*$B$15^2)))</f>
        <v>1950.89882104276</v>
      </c>
      <c r="E53" s="16" t="n">
        <f aca="false">$B$15+E$42/($B$16*(E$35+E$36/2*$B$15*((E52/$B$15)+1)+E$37/((E52/$B$15)*$B$15^2)))</f>
        <v>1609.19438957461</v>
      </c>
      <c r="F53" s="16" t="n">
        <f aca="false">$B$15+F$42/($B$16*(F$35+F$36/2*$B$15*((F52/$B$15)+1)+F$37/((F52/$B$15)*$B$15^2)))</f>
        <v>2282.53884548276</v>
      </c>
    </row>
    <row r="54" customFormat="false" ht="15" hidden="false" customHeight="false" outlineLevel="0" collapsed="false">
      <c r="A54" s="22" t="n">
        <v>8</v>
      </c>
      <c r="B54" s="16" t="n">
        <f aca="false">$B$15+B$42/($B$16*(B$35+B$36/2*$B$15*((B53/$B$15)+1)+B$37/((B53/$B$15)*$B$15^2)))</f>
        <v>2533.48700896475</v>
      </c>
      <c r="C54" s="16" t="n">
        <f aca="false">$B$15+C$42/($B$16*(C$35+C$36/2*$B$15*((C53/$B$15)+1)+C$37/((C53/$B$15)*$B$15^2)))</f>
        <v>2198.55235163625</v>
      </c>
      <c r="D54" s="16" t="n">
        <f aca="false">$B$15+D$42/($B$16*(D$35+D$36/2*$B$15*((D53/$B$15)+1)+D$37/((D53/$B$15)*$B$15^2)))</f>
        <v>1950.89887439471</v>
      </c>
      <c r="E54" s="16" t="n">
        <f aca="false">$B$15+E$42/($B$16*(E$35+E$36/2*$B$15*((E53/$B$15)+1)+E$37/((E53/$B$15)*$B$15^2)))</f>
        <v>1609.19447142262</v>
      </c>
      <c r="F54" s="16" t="n">
        <f aca="false">$B$15+F$42/($B$16*(F$35+F$36/2*$B$15*((F53/$B$15)+1)+F$37/((F53/$B$15)*$B$15^2)))</f>
        <v>2282.53792458909</v>
      </c>
    </row>
    <row r="55" customFormat="false" ht="15" hidden="false" customHeight="false" outlineLevel="0" collapsed="false">
      <c r="A55" s="22" t="n">
        <v>9</v>
      </c>
      <c r="B55" s="16" t="n">
        <f aca="false">$B$15+B$42/($B$16*(B$35+B$36/2*$B$15*((B54/$B$15)+1)+B$37/((B54/$B$15)*$B$15^2)))</f>
        <v>2533.48795608995</v>
      </c>
      <c r="C55" s="16" t="n">
        <f aca="false">$B$15+C$42/($B$16*(C$35+C$36/2*$B$15*((C54/$B$15)+1)+C$37/((C54/$B$15)*$B$15^2)))</f>
        <v>2198.5524446541</v>
      </c>
      <c r="D55" s="16" t="n">
        <f aca="false">$B$15+D$42/($B$16*(D$35+D$36/2*$B$15*((D54/$B$15)+1)+D$37/((D54/$B$15)*$B$15^2)))</f>
        <v>1950.89886702618</v>
      </c>
      <c r="E55" s="16" t="n">
        <f aca="false">$B$15+E$42/($B$16*(E$35+E$36/2*$B$15*((E54/$B$15)+1)+E$37/((E54/$B$15)*$B$15^2)))</f>
        <v>1609.19446241841</v>
      </c>
      <c r="F55" s="16" t="n">
        <f aca="false">$B$15+F$42/($B$16*(F$35+F$36/2*$B$15*((F54/$B$15)+1)+F$37/((F54/$B$15)*$B$15^2)))</f>
        <v>2282.53807242848</v>
      </c>
    </row>
    <row r="56" customFormat="false" ht="15" hidden="false" customHeight="false" outlineLevel="0" collapsed="false">
      <c r="A56" s="22" t="n">
        <v>10</v>
      </c>
      <c r="B56" s="16" t="n">
        <f aca="false">$B$15+B$42/($B$16*(B$35+B$36/2*$B$15*((B55/$B$15)+1)+B$37/((B55/$B$15)*$B$15^2)))</f>
        <v>2533.48777987441</v>
      </c>
      <c r="C56" s="16" t="n">
        <f aca="false">$B$15+C$42/($B$16*(C$35+C$36/2*$B$15*((C55/$B$15)+1)+C$37/((C55/$B$15)*$B$15^2)))</f>
        <v>2198.55242991215</v>
      </c>
      <c r="D56" s="16" t="n">
        <f aca="false">$B$15+D$42/($B$16*(D$35+D$36/2*$B$15*((D55/$B$15)+1)+D$37/((D55/$B$15)*$B$15^2)))</f>
        <v>1950.89886804386</v>
      </c>
      <c r="E56" s="16" t="n">
        <f aca="false">$B$15+E$42/($B$16*(E$35+E$36/2*$B$15*((E55/$B$15)+1)+E$37/((E55/$B$15)*$B$15^2)))</f>
        <v>1609.19446340897</v>
      </c>
      <c r="F56" s="16" t="n">
        <f aca="false">$B$15+F$42/($B$16*(F$35+F$36/2*$B$15*((F55/$B$15)+1)+F$37/((F55/$B$15)*$B$15^2)))</f>
        <v>2282.53804869448</v>
      </c>
    </row>
    <row r="57" customFormat="false" ht="15" hidden="false" customHeight="false" outlineLevel="0" collapsed="false">
      <c r="A57" s="22" t="n">
        <v>11</v>
      </c>
      <c r="B57" s="16" t="n">
        <f aca="false">$B$15+B$42/($B$16*(B$35+B$36/2*$B$15*((B56/$B$15)+1)+B$37/((B56/$B$15)*$B$15^2)))</f>
        <v>2533.48781265985</v>
      </c>
      <c r="C57" s="16" t="n">
        <f aca="false">$B$15+C$42/($B$16*(C$35+C$36/2*$B$15*((C56/$B$15)+1)+C$37/((C56/$B$15)*$B$15^2)))</f>
        <v>2198.55243224853</v>
      </c>
      <c r="D57" s="16" t="n">
        <f aca="false">$B$15+D$42/($B$16*(D$35+D$36/2*$B$15*((D56/$B$15)+1)+D$37/((D56/$B$15)*$B$15^2)))</f>
        <v>1950.89886790331</v>
      </c>
      <c r="E57" s="16" t="n">
        <f aca="false">$B$15+E$42/($B$16*(E$35+E$36/2*$B$15*((E56/$B$15)+1)+E$37/((E56/$B$15)*$B$15^2)))</f>
        <v>1609.1944633</v>
      </c>
      <c r="F57" s="16" t="n">
        <f aca="false">$B$15+F$42/($B$16*(F$35+F$36/2*$B$15*((F56/$B$15)+1)+F$37/((F56/$B$15)*$B$15^2)))</f>
        <v>2282.53805250471</v>
      </c>
    </row>
    <row r="58" customFormat="false" ht="15" hidden="false" customHeight="false" outlineLevel="0" collapsed="false">
      <c r="A58" s="22" t="n">
        <v>12</v>
      </c>
      <c r="B58" s="16" t="n">
        <f aca="false">$B$15+B$42/($B$16*(B$35+B$36/2*$B$15*((B57/$B$15)+1)+B$37/((B57/$B$15)*$B$15^2)))</f>
        <v>2533.48780656002</v>
      </c>
      <c r="C58" s="16" t="n">
        <f aca="false">$B$15+C$42/($B$16*(C$35+C$36/2*$B$15*((C57/$B$15)+1)+C$37/((C57/$B$15)*$B$15^2)))</f>
        <v>2198.55243187825</v>
      </c>
      <c r="D58" s="16" t="n">
        <f aca="false">$B$15+D$42/($B$16*(D$35+D$36/2*$B$15*((D57/$B$15)+1)+D$37/((D57/$B$15)*$B$15^2)))</f>
        <v>1950.89886792272</v>
      </c>
      <c r="E58" s="16" t="n">
        <f aca="false">$B$15+E$42/($B$16*(E$35+E$36/2*$B$15*((E57/$B$15)+1)+E$37/((E57/$B$15)*$B$15^2)))</f>
        <v>1609.19446331199</v>
      </c>
      <c r="F58" s="16" t="n">
        <f aca="false">$B$15+F$42/($B$16*(F$35+F$36/2*$B$15*((F57/$B$15)+1)+F$37/((F57/$B$15)*$B$15^2)))</f>
        <v>2282.53805189302</v>
      </c>
    </row>
    <row r="59" customFormat="false" ht="15" hidden="false" customHeight="false" outlineLevel="0" collapsed="false">
      <c r="A59" s="5" t="s">
        <v>61</v>
      </c>
      <c r="B59" s="23" t="n">
        <f aca="false">B58-B57</f>
        <v>-6.09983044341789E-006</v>
      </c>
      <c r="C59" s="23" t="n">
        <f aca="false">C58-C57</f>
        <v>-3.70281668438111E-007</v>
      </c>
      <c r="D59" s="23" t="n">
        <f aca="false">D58-D57</f>
        <v>1.94118001672905E-008</v>
      </c>
      <c r="E59" s="23" t="n">
        <f aca="false">E58-E57</f>
        <v>1.19885044114199E-008</v>
      </c>
      <c r="F59" s="23" t="n">
        <f aca="false">F58-F57</f>
        <v>-6.11691120866453E-007</v>
      </c>
    </row>
    <row r="61" customFormat="false" ht="15" hidden="false" customHeight="false" outlineLevel="0" collapsed="false">
      <c r="A61" s="3" t="s">
        <v>62</v>
      </c>
    </row>
    <row r="62" customFormat="false" ht="15" hidden="false" customHeight="false" outlineLevel="0" collapsed="false">
      <c r="A62" s="17" t="s">
        <v>63</v>
      </c>
      <c r="B62" s="24" t="n">
        <f aca="false">B58</f>
        <v>2533.48780656002</v>
      </c>
      <c r="C62" s="24" t="n">
        <f aca="false">C58</f>
        <v>2198.55243187825</v>
      </c>
      <c r="D62" s="24" t="n">
        <f aca="false">D58</f>
        <v>1950.89886792272</v>
      </c>
      <c r="E62" s="24" t="n">
        <f aca="false">E58</f>
        <v>1609.19446331199</v>
      </c>
      <c r="F62" s="24" t="n">
        <f aca="false">F58</f>
        <v>2282.53805189302</v>
      </c>
    </row>
    <row r="63" customFormat="false" ht="15" hidden="false" customHeight="false" outlineLevel="0" collapsed="false">
      <c r="A63" s="17" t="s">
        <v>64</v>
      </c>
      <c r="B63" s="24" t="n">
        <f aca="false">B62-273.15</f>
        <v>2260.33780656002</v>
      </c>
      <c r="C63" s="24" t="n">
        <f aca="false">C62-273.15</f>
        <v>1925.40243187825</v>
      </c>
      <c r="D63" s="24" t="n">
        <f aca="false">D62-273.15</f>
        <v>1677.74886792272</v>
      </c>
      <c r="E63" s="24" t="n">
        <f aca="false">E62-273.15</f>
        <v>1336.04446331199</v>
      </c>
      <c r="F63" s="24" t="n">
        <f aca="false">F62-273.15</f>
        <v>2009.38805189302</v>
      </c>
    </row>
    <row r="64" customFormat="false" ht="29.85" hidden="false" customHeight="false" outlineLevel="0" collapsed="false">
      <c r="A64" s="5" t="s">
        <v>65</v>
      </c>
      <c r="B64" s="19" t="n">
        <f aca="false">B41+$B$19+B28*$B$16*($D$10*(B62-$B$15)+$E$10/2*(B62^2-$B$15^2)+$F$10/3*(B62^3-$B$15^3)+$G$10*(B62-$B$15)/(B62*$B$15))+B29*$B$16*($D$11*(B62-$B$15)+$E$11/2*(B62^2-$B$15^2)+$F$11/3*(B62^3-$B$15^3)+$G$11*(B62-$B$15)/(B62*$B$15))+B30*$B$16*($D$8*(B62-$B$15)+$E$8/2*(B62^2-$B$15^2)+$F$8/3*(B62^3-$B$15^3)+$G$8*(B62-$B$15)/(B62*$B$15))+B31*$B$16*($D$9*(B62-$B$15)+$E$9/2*(B62^2-$B$15^2)+$F$9/3*(B62^3-$B$15^3)+$G$9*(B62-$B$15)/(B62*$B$15))</f>
        <v>-0.000671776942908764</v>
      </c>
      <c r="C64" s="19" t="n">
        <f aca="false">C41+$B$19+C28*$B$16*($D$10*(C62-$B$15)+$E$10/2*(C62^2-$B$15^2)+$F$10/3*(C62^3-$B$15^3)+$G$10*(C62-$B$15)/(C62*$B$15))+C29*$B$16*($D$11*(C62-$B$15)+$E$11/2*(C62^2-$B$15^2)+$F$11/3*(C62^3-$B$15^3)+$G$11*(C62-$B$15)/(C62*$B$15))+C30*$B$16*($D$8*(C62-$B$15)+$E$8/2*(C62^2-$B$15^2)+$F$8/3*(C62^3-$B$15^3)+$G$8*(C62-$B$15)/(C62*$B$15))+C31*$B$16*($D$9*(C62-$B$15)+$E$9/2*(C62^2-$B$15^2)+$F$9/3*(C62^3-$B$15^3)+$G$9*(C62-$B$15)/(C62*$B$15))</f>
        <v>-4.08593332394958E-005</v>
      </c>
      <c r="D64" s="19" t="n">
        <f aca="false">D41+$B$19+D28*$B$16*($D$10*(D62-$B$15)+$E$10/2*(D62^2-$B$15^2)+$F$10/3*(D62^3-$B$15^3)+$G$10*(D62-$B$15)/(D62*$B$15))+D29*$B$16*($D$11*(D62-$B$15)+$E$11/2*(D62^2-$B$15^2)+$F$11/3*(D62^3-$B$15^3)+$G$11*(D62-$B$15)/(D62*$B$15))+D30*$B$16*($D$8*(D62-$B$15)+$E$8/2*(D62^2-$B$15^2)+$F$8/3*(D62^3-$B$15^3)+$G$8*(D62-$B$15)/(D62*$B$15))+D31*$B$16*($D$9*(D62-$B$15)+$E$9/2*(D62^2-$B$15^2)+$F$9/3*(D62^3-$B$15^3)+$G$9*(D62-$B$15)/(D62*$B$15))</f>
        <v>2.14611645787954E-006</v>
      </c>
      <c r="E64" s="19" t="n">
        <f aca="false">E41+$B$19+E28*$B$16*($D$10*(E62-$B$15)+$E$10/2*(E62^2-$B$15^2)+$F$10/3*(E62^3-$B$15^3)+$G$10*(E62-$B$15)/(E62*$B$15))+E29*$B$16*($D$11*(E62-$B$15)+$E$11/2*(E62^2-$B$15^2)+$F$11/3*(E62^3-$B$15^3)+$G$11*(E62-$B$15)/(E62*$B$15))+E30*$B$16*($D$8*(E62-$B$15)+$E$8/2*(E62^2-$B$15^2)+$F$8/3*(E62^3-$B$15^3)+$G$8*(E62-$B$15)/(E62*$B$15))+E31*$B$16*($D$9*(E62-$B$15)+$E$9/2*(E62^2-$B$15^2)+$F$9/3*(E62^3-$B$15^3)+$G$9*(E62-$B$15)/(E62*$B$15))</f>
        <v>1.33109278976917E-006</v>
      </c>
      <c r="F64" s="19" t="n">
        <f aca="false">F41+$B$19+F28*$B$16*($D$10*(F62-$B$15)+$E$10/2*(F62^2-$B$15^2)+$F$10/3*(F62^3-$B$15^3)+$G$10*(F62-$B$15)/(F62*$B$15))+F29*$B$16*($D$11*(F62-$B$15)+$E$11/2*(F62^2-$B$15^2)+$F$11/3*(F62^3-$B$15^3)+$G$11*(F62-$B$15)/(F62*$B$15))+F30*$B$16*($D$8*(F62-$B$15)+$E$8/2*(F62^2-$B$15^2)+$F$8/3*(F62^3-$B$15^3)+$G$8*(F62-$B$15)/(F62*$B$15))+F31*$B$16*($D$9*(F62-$B$15)+$E$9/2*(F62^2-$B$15^2)+$F$9/3*(F62^3-$B$15^3)+$G$9*(F62-$B$15)/(F62*$B$15))</f>
        <v>-8.07906035333872E-005</v>
      </c>
    </row>
    <row r="65" customFormat="false" ht="15" hidden="false" customHeight="false" outlineLevel="0" collapsed="false">
      <c r="A65" s="5" t="s">
        <v>66</v>
      </c>
      <c r="B65" s="25" t="str">
        <f aca="false">IF(B62&lt;=2000,"Sí","Extrapolación")</f>
        <v>Extrapolación</v>
      </c>
      <c r="C65" s="25" t="str">
        <f aca="false">IF(C62&lt;=2000,"Sí","Extrapolación")</f>
        <v>Extrapolación</v>
      </c>
      <c r="D65" s="25" t="str">
        <f aca="false">IF(D62&lt;=2000,"Sí","Extrapolación")</f>
        <v>Sí</v>
      </c>
      <c r="E65" s="25" t="str">
        <f aca="false">IF(E62&lt;=2000,"Sí","Extrapolación")</f>
        <v>Sí</v>
      </c>
      <c r="F65" s="25" t="str">
        <f aca="false">IF(F62&lt;=2000,"Sí","Extrapolación")</f>
        <v>Extrapolación</v>
      </c>
    </row>
    <row r="67" customFormat="false" ht="15" hidden="false" customHeight="false" outlineLevel="0" collapsed="false">
      <c r="A67" s="12" t="s">
        <v>67</v>
      </c>
    </row>
    <row r="68" customFormat="false" ht="15" hidden="false" customHeight="false" outlineLevel="0" collapsed="false">
      <c r="A68" s="2" t="s">
        <v>68</v>
      </c>
    </row>
    <row r="69" customFormat="false" ht="15" hidden="false" customHeight="false" outlineLevel="0" collapsed="false">
      <c r="A69" s="2" t="s">
        <v>69</v>
      </c>
    </row>
    <row r="70" customFormat="false" ht="15" hidden="false" customHeight="false" outlineLevel="0" collapsed="false">
      <c r="A70" s="2" t="s">
        <v>70</v>
      </c>
    </row>
    <row r="71" customFormat="false" ht="15" hidden="false" customHeight="false" outlineLevel="0" collapsed="false">
      <c r="A71" s="2" t="s">
        <v>71</v>
      </c>
    </row>
    <row r="72" customFormat="false" ht="15" hidden="false" customHeight="false" outlineLevel="0" collapsed="false">
      <c r="A72" s="2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2026-10-08T16:50:44Z</dcterms:created>
  <dc:creator>openpyxl</dc:creator>
  <dc:description/>
  <dc:language>en-US</dc:language>
  <cp:lastModifiedBy/>
  <dcterms:modified xsi:type="dcterms:W3CDTF">2026-10-08T16:50:44Z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